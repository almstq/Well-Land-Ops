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ocuments\New folder (2)\"/>
    </mc:Choice>
  </mc:AlternateContent>
  <xr:revisionPtr revIDLastSave="0" documentId="13_ncr:1_{6DD82C70-76F3-4EB0-A622-811ED50564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📊 Dashboard" sheetId="1" r:id="rId1"/>
    <sheet name="🚛 Fleet Status" sheetId="2" r:id="rId2"/>
    <sheet name="⚓ Marine Vessels" sheetId="3" r:id="rId3"/>
    <sheet name="👥 Staff Register" sheetId="4" r:id="rId4"/>
    <sheet name="🔧 Operators" sheetId="5" r:id="rId5"/>
    <sheet name="📋 Janaka Daily Log" sheetId="6" r:id="rId6"/>
    <sheet name="📦 PR Log" sheetId="7" r:id="rId7"/>
    <sheet name="💰 Rental Log" sheetId="8" r:id="rId8"/>
    <sheet name="📂 Document Vault" sheetId="9" r:id="rId9"/>
    <sheet name="📅 Compliance" sheetId="10" r:id="rId10"/>
    <sheet name="📞 Call Log" sheetId="11" r:id="rId11"/>
    <sheet name="📅 Daily Log" sheetId="12" r:id="rId12"/>
    <sheet name="ℹ️ Guide" sheetId="13" r:id="rId13"/>
  </sheets>
  <calcPr calcId="181029"/>
</workbook>
</file>

<file path=xl/calcChain.xml><?xml version="1.0" encoding="utf-8"?>
<calcChain xmlns="http://schemas.openxmlformats.org/spreadsheetml/2006/main">
  <c r="J30" i="2" l="1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</calcChain>
</file>

<file path=xl/sharedStrings.xml><?xml version="1.0" encoding="utf-8"?>
<sst xmlns="http://schemas.openxmlformats.org/spreadsheetml/2006/main" count="1656" uniqueCount="823">
  <si>
    <t xml:space="preserve">  ANTRAC HOLDING GROUP  |  WELL LAND INVESTMENT PVT. LTD.  |  OPERATIONS REGISTER</t>
  </si>
  <si>
    <t xml:space="preserve">  Well Land Ops Command Center  —  Fleet · Marine · Staff · Procurement · Rentals · Compliance</t>
  </si>
  <si>
    <t xml:space="preserve">  🚛  HEAVY FLEET  (20 vehicles total — 4 new excavators added)</t>
  </si>
  <si>
    <t>Total Fleet</t>
  </si>
  <si>
    <t>At Thilafushi</t>
  </si>
  <si>
    <t>At Project Sites</t>
  </si>
  <si>
    <t>Location Unknown</t>
  </si>
  <si>
    <t>Rental Eligible</t>
  </si>
  <si>
    <t>inc. 4 new</t>
  </si>
  <si>
    <t>Currently DOWN</t>
  </si>
  <si>
    <t>No rental</t>
  </si>
  <si>
    <t>Verify urgently</t>
  </si>
  <si>
    <t>Thilafushi DOWN</t>
  </si>
  <si>
    <t xml:space="preserve">  ⚓  MARINE FLEET  (4 vessels)</t>
  </si>
  <si>
    <t>LCT 1</t>
  </si>
  <si>
    <t>Dhoni 1</t>
  </si>
  <si>
    <t>Speed Boat 1</t>
  </si>
  <si>
    <t>Speed Boat 2</t>
  </si>
  <si>
    <t>Permits Tracked</t>
  </si>
  <si>
    <t>Active</t>
  </si>
  <si>
    <t>Running</t>
  </si>
  <si>
    <t>Drydocked</t>
  </si>
  <si>
    <t>In service</t>
  </si>
  <si>
    <t>Ferry/supply</t>
  </si>
  <si>
    <t>Fast transport</t>
  </si>
  <si>
    <t>⚠ Verify identity</t>
  </si>
  <si>
    <t>⚠ Fill dates now</t>
  </si>
  <si>
    <t xml:space="preserve">  👥  STAFF  (31 engaged — expand as needed)</t>
  </si>
  <si>
    <t>Total Engaged</t>
  </si>
  <si>
    <t>Full Time</t>
  </si>
  <si>
    <t>Probation</t>
  </si>
  <si>
    <t>Marine</t>
  </si>
  <si>
    <t>Land / Terminal</t>
  </si>
  <si>
    <t>All categories</t>
  </si>
  <si>
    <t>incl. Ops/GM</t>
  </si>
  <si>
    <t>Captains + crew</t>
  </si>
  <si>
    <t>Ops + drivers</t>
  </si>
  <si>
    <t xml:space="preserve">  🔴  OPEN ACTIONS  (fill manually — update daily)</t>
  </si>
  <si>
    <t>#</t>
  </si>
  <si>
    <t>Type</t>
  </si>
  <si>
    <t>Ref</t>
  </si>
  <si>
    <t>Subject / Asset</t>
  </si>
  <si>
    <t>Raised By</t>
  </si>
  <si>
    <t>Site</t>
  </si>
  <si>
    <t>Urgency</t>
  </si>
  <si>
    <t>Due</t>
  </si>
  <si>
    <t>Status</t>
  </si>
  <si>
    <t>Notes</t>
  </si>
  <si>
    <t>PR — CRITICAL</t>
  </si>
  <si>
    <t>WL-PR-0001</t>
  </si>
  <si>
    <t>WL-HV-0002 VOLVO A40G — hydraulic hose leaking (Muthaafushi)</t>
  </si>
  <si>
    <t>Janaka</t>
  </si>
  <si>
    <t>Muthaafushi</t>
  </si>
  <si>
    <t>CRITICAL</t>
  </si>
  <si>
    <t>Open</t>
  </si>
  <si>
    <t>Obtain quotes — unresolved since 15 Mar 2026.</t>
  </si>
  <si>
    <t>WL-PR-0006</t>
  </si>
  <si>
    <t>WL-HV-0006 KOMATSU PC350 — engine oil hose burst (Muthaafushi)</t>
  </si>
  <si>
    <t>Sampath</t>
  </si>
  <si>
    <t>22/04/2026</t>
  </si>
  <si>
    <t>In Progress</t>
  </si>
  <si>
    <t>Fabrication done. Dispatching 22 Apr ferry → Thulhaadhoo → Idrees.</t>
  </si>
  <si>
    <t>DECISION REQ</t>
  </si>
  <si>
    <t>WL-PR-0010</t>
  </si>
  <si>
    <t>WL-HV-0007 hydraulic pump — awaiting Hameed approval. USD 6,000 recon pump.</t>
  </si>
  <si>
    <t>Mushthaq</t>
  </si>
  <si>
    <t>Bodufinolhu</t>
  </si>
  <si>
    <t>ASAP</t>
  </si>
  <si>
    <t>Pending</t>
  </si>
  <si>
    <t>Engineer MVR 800/day accruing from 13 Apr. Every day of delay = cost.</t>
  </si>
  <si>
    <t>PAYMENT</t>
  </si>
  <si>
    <t>WL-PR-0004</t>
  </si>
  <si>
    <t>Solenoid valve (×1) held by Venkata at site — payment outstanding (MVR 7,992 set)</t>
  </si>
  <si>
    <t>URGENT</t>
  </si>
  <si>
    <t>Release payment to unblock WL-HV-0007 repair.</t>
  </si>
  <si>
    <t>PARTS DISPATCH</t>
  </si>
  <si>
    <t>WL-PR-0005</t>
  </si>
  <si>
    <t>Hydraulic adapter — fabricated, dispatching 22 Apr ferry → Thulhaadhoo → Idrees</t>
  </si>
  <si>
    <t>Confirm delivery with Sampath after ferry.</t>
  </si>
  <si>
    <t>CONFIRM DEL</t>
  </si>
  <si>
    <t>WL-PR-0007/008</t>
  </si>
  <si>
    <t>Hydraulic filters (main + strainer) — dispatched to Muthaafushi. Confirm receipt.</t>
  </si>
  <si>
    <t>Confirm with Janaka / Sampath.</t>
  </si>
  <si>
    <t>WL-PR-0009</t>
  </si>
  <si>
    <t>Arm &amp; boom seal kits — dispatched ~15 Apr to Bodufinolhu. Confirm receipt.</t>
  </si>
  <si>
    <t>Confirm installation status with Sampath.</t>
  </si>
  <si>
    <t>VERIFY</t>
  </si>
  <si>
    <t>WL-HV-0009</t>
  </si>
  <si>
    <t>WL-HV-0009 KOMATSU PC350 — location and status unknown</t>
  </si>
  <si>
    <t>Unknown</t>
  </si>
  <si>
    <t>Confirm with Sampath / Janaka urgently.</t>
  </si>
  <si>
    <t>WL-MV-0004</t>
  </si>
  <si>
    <t>Speed Boat 2 — drydocked — same asset as SB1?</t>
  </si>
  <si>
    <t>Confirm with Janaka.</t>
  </si>
  <si>
    <t>ENGINEER COST</t>
  </si>
  <si>
    <t>IEPL-Venkata</t>
  </si>
  <si>
    <t>Mr. Venkata engineer charges MVR 800/day from 13 Apr — accruing daily</t>
  </si>
  <si>
    <t>Linked to pump decision. Resolve with Hameed.</t>
  </si>
  <si>
    <t>DOCS</t>
  </si>
  <si>
    <t>WL-HV-0017~0024</t>
  </si>
  <si>
    <t>New units — complete chassis, engine, insurance, registration docs</t>
  </si>
  <si>
    <t>Thilafushi/Bodufinolhu</t>
  </si>
  <si>
    <t>HIGH</t>
  </si>
  <si>
    <t>Partial</t>
  </si>
  <si>
    <t>Partial data in Fleet sheet. Obtain full docs for all new units.</t>
  </si>
  <si>
    <t>WORK PERMIT</t>
  </si>
  <si>
    <t>WL-EMP-0031</t>
  </si>
  <si>
    <t>Dulip Priyankara — work permit processing, cannot operate any vehicle</t>
  </si>
  <si>
    <t>Thilafushi</t>
  </si>
  <si>
    <t>Do not assign to any vehicle until permit confirmed active.</t>
  </si>
  <si>
    <t xml:space="preserve">  WELL LAND INVESTMENT  |  HEAVY VEHICLE FLEET STATUS REGISTER  (WL-REG-002)</t>
  </si>
  <si>
    <t xml:space="preserve">  31 vehicles total (incl. 8 Al Dahr arrivals + 4 pending delivery)  |  Rental Eligibility = Thilafushi base ONLY AND status OP/Standby  |  Thilafushi currently DOWN — no vehicles eligible</t>
  </si>
  <si>
    <t xml:space="preserve">  ⚠  RENTAL RULE: Only vehicles at THILAFUSHI BASE with status Operational or Standby are eligible for rent. 
ALL project-site vehicles are EXCLUDED. Thilafushi is currently DOWN — rental eligibility = 0 until base is operational.</t>
  </si>
  <si>
    <t>Fleet ID</t>
  </si>
  <si>
    <t>Vehicle Type</t>
  </si>
  <si>
    <t>Brand</t>
  </si>
  <si>
    <t>Model</t>
  </si>
  <si>
    <t>Current Location</t>
  </si>
  <si>
    <t>Assigned Project</t>
  </si>
  <si>
    <t>Operator Assigned</t>
  </si>
  <si>
    <t>Condition</t>
  </si>
  <si>
    <t>Rental Eligible?</t>
  </si>
  <si>
    <t>Daily Report Rcvd?</t>
  </si>
  <si>
    <t>Fuel %</t>
  </si>
  <si>
    <t>Open PR Ref</t>
  </si>
  <si>
    <t>Known Issue</t>
  </si>
  <si>
    <t>Issue History</t>
  </si>
  <si>
    <t>Reg No.</t>
  </si>
  <si>
    <t>Chassis No.</t>
  </si>
  <si>
    <t>Engine No.</t>
  </si>
  <si>
    <t>Last Maintenance</t>
  </si>
  <si>
    <t>Next Maint Due</t>
  </si>
  <si>
    <t>WL-HV-0001</t>
  </si>
  <si>
    <t>Hauler Dump Truck</t>
  </si>
  <si>
    <t>VOLVO</t>
  </si>
  <si>
    <t>A40G</t>
  </si>
  <si>
    <t>Active — Site</t>
  </si>
  <si>
    <t>Good</t>
  </si>
  <si>
    <t>N/A</t>
  </si>
  <si>
    <t>WL-HV-0002</t>
  </si>
  <si>
    <t>Thilafushi — Base</t>
  </si>
  <si>
    <t>WL-HV-0003</t>
  </si>
  <si>
    <t>Dump Truck</t>
  </si>
  <si>
    <t>ISUZU</t>
  </si>
  <si>
    <t>14 Tons</t>
  </si>
  <si>
    <t>WL-HV-0004</t>
  </si>
  <si>
    <t>UD NISSAN</t>
  </si>
  <si>
    <t>WL-HV-0005</t>
  </si>
  <si>
    <t>High Bed Excavator</t>
  </si>
  <si>
    <t>KOBELCO</t>
  </si>
  <si>
    <t>SK380</t>
  </si>
  <si>
    <t>Muthaafushi Resort Development</t>
  </si>
  <si>
    <t>Operational</t>
  </si>
  <si>
    <t>Minor Issue</t>
  </si>
  <si>
    <t>Air filter due — can be cleaned and reused. Schedule cleaning at next available opportunity.</t>
  </si>
  <si>
    <t>20/04/2026</t>
  </si>
  <si>
    <t>WL-HV-0006</t>
  </si>
  <si>
    <t>Low Bed Excavator</t>
  </si>
  <si>
    <t>KOMATSU</t>
  </si>
  <si>
    <t>PC350</t>
  </si>
  <si>
    <t>Grounded</t>
  </si>
  <si>
    <t>Issue</t>
  </si>
  <si>
    <t>WL-HV-0007</t>
  </si>
  <si>
    <t>Bodufinolhu Resort Development</t>
  </si>
  <si>
    <t>GROUNDED — Main hydraulic pump failure (20 Apr 2026):
Tandem pump — one side failed. Pump internals photographed and inspected on site (Mar 2026, Mr. Venkata / IEPL).
Recommendation: Replace with reconditioned pump. Quote: USD 6,000 via IEPL (Mr. Hari Pilla). Lead time ~30 days.
Decision pending management approval (Hameed).
Interim option: repair using salvaged components from previously disassembled pump.
NOTE: New pump NOT recommended — aged hydraulic circuit cannot sustain full pump pressure; cascade failure risk on hoses, seals and valves.
Engineer Mr. Venkata (IEPL) on site — MVR 800/day accruing from 13 Apr 2026.</t>
  </si>
  <si>
    <t>STANDBY — Parts being sourced (identified by IEPL engineer Mr. Venkata):
① Wiring fault — diagnosed and corrected by Venkata on site. ✓ Resolved.
② Hydraulic line adapter / elbow fitting — no standard part available. Fabricated at Ex Ceylon Engineering, Malé. Dispatching 22 Apr ferry → Thulhaadhoo → Idrees → site.
③ Solenoid valve ×2 — 1 nos held by Venkata at site (payment outstanding, MVR 7,992 for set). 1 nos on order.
④ Pilot block (3-bolt) — failed after 4 hrs. IEPL quote USD 1,050 CNF Malé. MVR quote requested.
Machine can resume partial operation once adapter and solenoid installed.</t>
  </si>
  <si>
    <t>Wiring issue — corrected by Infra Engineers India engineer (Mr. Venkata) on site. ✓
Hydraulic line adapter identified by Venkata — sample sent to Malé, fabricated at Ex Ceylon Engineering; ready for dispatch on 22 Apr ferry → Thulhaadhoo → Idrees → site.
Solenoid valve x2 — required, being sourced.
Machine on standby pending adapter and solenoid installation.</t>
  </si>
  <si>
    <t>WL-HV-0008</t>
  </si>
  <si>
    <t>Hydraulic jack line issue — arm and boom seal kits dispatched ~15 Apr 2026. Repair in progress.
Machine operational at reduced capacity while seals replaced.
Advisory: Procure one spare reconditioned hydraulic pump as buffer stock. Pump wear pattern on this aged machine indicates imminent failure risk.</t>
  </si>
  <si>
    <t>⚠ Location and current status unconfirmed. Verify with Sampath / Janaka urgently.</t>
  </si>
  <si>
    <t>WL-HV-0010</t>
  </si>
  <si>
    <t>Mobile Crane</t>
  </si>
  <si>
    <t>TADANO</t>
  </si>
  <si>
    <t>TR300EX</t>
  </si>
  <si>
    <t>WL-HV-0011</t>
  </si>
  <si>
    <t>SK235</t>
  </si>
  <si>
    <t>WL-HV-0012</t>
  </si>
  <si>
    <t>KUBOTA</t>
  </si>
  <si>
    <t>50</t>
  </si>
  <si>
    <t>WL-HV-0013</t>
  </si>
  <si>
    <t>Forklift</t>
  </si>
  <si>
    <t>NISSAN</t>
  </si>
  <si>
    <t>5 Tons</t>
  </si>
  <si>
    <t>WL-HV-0014</t>
  </si>
  <si>
    <t>Bobcat</t>
  </si>
  <si>
    <t>BOBCAT</t>
  </si>
  <si>
    <t>S450</t>
  </si>
  <si>
    <t>WL-HV-0015</t>
  </si>
  <si>
    <t>Pickup</t>
  </si>
  <si>
    <t>AF</t>
  </si>
  <si>
    <t>6 Tons</t>
  </si>
  <si>
    <t>WL-HV-0016</t>
  </si>
  <si>
    <t>Loader</t>
  </si>
  <si>
    <t>CAT</t>
  </si>
  <si>
    <t>—</t>
  </si>
  <si>
    <t>WL-HV-0017</t>
  </si>
  <si>
    <t>Wheel Excavator (New)</t>
  </si>
  <si>
    <t>XCMG</t>
  </si>
  <si>
    <t>XE60WG</t>
  </si>
  <si>
    <t xml:space="preserve">ARRIVED — Al Dahr / Rolman PI93510 — EX#1488 — </t>
  </si>
  <si>
    <t>XUGD060FCRKA00001</t>
  </si>
  <si>
    <t>G4GYMCL029F31</t>
  </si>
  <si>
    <t>WL-HV-0018</t>
  </si>
  <si>
    <t>Tracked Excavator (New)</t>
  </si>
  <si>
    <t>PC70-8</t>
  </si>
  <si>
    <t>Track line damaged — no standard off-shelf part available in Maldives. Fabrication from Teflon material. Check RKL Maldives for Teflon supply. Custom fabrication in progress.</t>
  </si>
  <si>
    <t>KMTPC238P38C02085</t>
  </si>
  <si>
    <t>SAA4D95LE-5</t>
  </si>
  <si>
    <t>WL-HV-0019</t>
  </si>
  <si>
    <t>CAT Excavator (New)</t>
  </si>
  <si>
    <t>CATERPILLAR</t>
  </si>
  <si>
    <t>323D3</t>
  </si>
  <si>
    <t>CAT0323DKFEY00469</t>
  </si>
  <si>
    <t>?</t>
  </si>
  <si>
    <t>WL-HV-0020</t>
  </si>
  <si>
    <t>SUMITOMO Excavator (New)</t>
  </si>
  <si>
    <t>SUMITOMO</t>
  </si>
  <si>
    <t>SH220LC6</t>
  </si>
  <si>
    <t>SMT220U6P00BH1182</t>
  </si>
  <si>
    <t>WL-HV-0021</t>
  </si>
  <si>
    <t>CAT 336DL Excavator (New)</t>
  </si>
  <si>
    <t>336DL</t>
  </si>
  <si>
    <t>No Bucket</t>
  </si>
  <si>
    <t>CAT0336DAWRK00437</t>
  </si>
  <si>
    <t>THX41079</t>
  </si>
  <si>
    <t>WL-HV-0022</t>
  </si>
  <si>
    <t>CAT0336DPPGW00178</t>
  </si>
  <si>
    <t>THX37812</t>
  </si>
  <si>
    <t>WL-HV-0023</t>
  </si>
  <si>
    <t>CAT 745C ARTICULATED DUMPTRUCK (New)</t>
  </si>
  <si>
    <t>745C</t>
  </si>
  <si>
    <t>Power Issue:
Work around - bypassing/manual wire short ignition
Sampath requested to send our electrician Lakmal from Thilafushi to Bodufinolhu to troubleshoot and correct the issue</t>
  </si>
  <si>
    <t>CAT0745CETFK00507</t>
  </si>
  <si>
    <t>C18-7MRO5738</t>
  </si>
  <si>
    <t>WL-HV-0024</t>
  </si>
  <si>
    <t>Switch Assembly Issue:
Parts received; Status OK</t>
  </si>
  <si>
    <t>CAT0745CTTFK00218</t>
  </si>
  <si>
    <t>C18-7MRO3619</t>
  </si>
  <si>
    <t>WL-HV-0025</t>
  </si>
  <si>
    <t>Mini Excavator (Al Dahr)</t>
  </si>
  <si>
    <t>YANMAR</t>
  </si>
  <si>
    <t>B65</t>
  </si>
  <si>
    <t>Pending Delivery</t>
  </si>
  <si>
    <t>Ordered — Pending Delivery</t>
  </si>
  <si>
    <t>✗ No</t>
  </si>
  <si>
    <t>PENDING — Al Dahr / Rolman PI93510 S/N13 | 2016 | Japan | 2,698 Hrs | AED 100,000 NOT YET RECEIVED</t>
  </si>
  <si>
    <t>YMRB65YYAEYC10535</t>
  </si>
  <si>
    <t>WL-HV-0026</t>
  </si>
  <si>
    <t>Forklift — Pneumatic Tyre (Al Dahr)</t>
  </si>
  <si>
    <t>DOOSAN</t>
  </si>
  <si>
    <t>D505C-5</t>
  </si>
  <si>
    <t>PENDING — Al Dahr / Rolman PI93510 S/N3 | RW EX#1004 | 2022 | Korea | Brand New | AED 145,000 NOT YET RECEIVED</t>
  </si>
  <si>
    <t>FDB08113001920</t>
  </si>
  <si>
    <t>WL-HV-0027</t>
  </si>
  <si>
    <t>Tracked Excavator (Al Dahr)</t>
  </si>
  <si>
    <t>PENDING — Al Dahr / Rolman PI93510 S/N6 | RW EX#517 | 2012 | Japan | 4,873 Hrs | AED 80,000 NOT YET RECEIVED</t>
  </si>
  <si>
    <t>KMTPC238L38C02550</t>
  </si>
  <si>
    <t>WL-HV-0028</t>
  </si>
  <si>
    <t>8x4 Sleeper Dump Truck (Al Dahr — Ordered)</t>
  </si>
  <si>
    <t>XGA3310D6NEX</t>
  </si>
  <si>
    <t>PENDING — Al Dahr / Rolman PI93510 S/N4 | RW EX#1725 | 2021 | China | Unused | AED 170,000 — NOT YET RECEIVED</t>
  </si>
  <si>
    <t>LC1HNRBG6M0003592</t>
  </si>
  <si>
    <t>WL-HV-0029</t>
  </si>
  <si>
    <t>PENDING — Al Dahr / Rolman PI93510 S/N5 | RW EX#1726 | 2021 | China | Unused | AED 170,000 — NOT YET RECEIVED</t>
  </si>
  <si>
    <t>LC1HNRBG8M0003593</t>
  </si>
  <si>
    <t>WL-HV-0030</t>
  </si>
  <si>
    <t>Rough Terrain Crane (Al Dahr — Ordered)</t>
  </si>
  <si>
    <t>GROVE</t>
  </si>
  <si>
    <t>RT700E</t>
  </si>
  <si>
    <t>PENDING — Al Dahr / Rolman PI93510 S/N9 | RW EX#1527 | 2007 | USA | 4,050 Hrs | AED 392,000 — NOT YET RECEIVED</t>
  </si>
  <si>
    <t>RT700E#227269</t>
  </si>
  <si>
    <t>WL-HV-0031</t>
  </si>
  <si>
    <t>48T Straight Boom Crane / Flatbed (Al Dahr — Ordered)</t>
  </si>
  <si>
    <t>XCMG / DONGFENG</t>
  </si>
  <si>
    <t>SQS200</t>
  </si>
  <si>
    <t>PENDING — Al Dahr / Rolman PI93510 S/N12 | RW EX#1622 | 2023 | China | 1,186 Km | AED 185,000 — NOT YET RECEIVED</t>
  </si>
  <si>
    <t>LGHCHD1P8P6102757</t>
  </si>
  <si>
    <t xml:space="preserve">Shajalal - 796-0820 </t>
  </si>
  <si>
    <t xml:space="preserve">  WELL LAND INVESTMENT  |  MARINE VESSELS REGISTER  (WL-REG-MARINE-001)</t>
  </si>
  <si>
    <t xml:space="preserve">  4 vessels  |  Captains submit daily status  |  Permit/Insurance expiry dates MUST be filled — auto-alerts at 60 days</t>
  </si>
  <si>
    <t>Vessel ID</t>
  </si>
  <si>
    <t>Name/Ref</t>
  </si>
  <si>
    <t>Drydocked?</t>
  </si>
  <si>
    <t>Captain in Charge</t>
  </si>
  <si>
    <t>Crew Assigned</t>
  </si>
  <si>
    <t>Hull / IMO</t>
  </si>
  <si>
    <t>Engine 1 Serial</t>
  </si>
  <si>
    <t>Engine 2 Serial</t>
  </si>
  <si>
    <t>Capacity/Notes</t>
  </si>
  <si>
    <t>Permit No.</t>
  </si>
  <si>
    <t>Permit Expiry</t>
  </si>
  <si>
    <t>Insurance Expiry</t>
  </si>
  <si>
    <t>Last Inspection</t>
  </si>
  <si>
    <t>DryDock Start</t>
  </si>
  <si>
    <t>DryDock Est. End</t>
  </si>
  <si>
    <t>Known Issues / Notes</t>
  </si>
  <si>
    <t>WL-MV-0001</t>
  </si>
  <si>
    <t>LCT</t>
  </si>
  <si>
    <t>No</t>
  </si>
  <si>
    <t>Ali Shameem (WL-EMP-0001)</t>
  </si>
  <si>
    <t>Anuar Hussain, Mohammad Jakir Hossain, Sheikh Mohamed Farid Miah, Easa Gasim</t>
  </si>
  <si>
    <t>LCT cargo vessel</t>
  </si>
  <si>
    <t>WL-MV-0002</t>
  </si>
  <si>
    <t>Dhoni/Ferry</t>
  </si>
  <si>
    <t>Nasrulla Ali (WL-EMP-0003)</t>
  </si>
  <si>
    <t>MD Robel Miah, Ala Uddin, Mokhles, Yeasin Miah</t>
  </si>
  <si>
    <t>Ferry / supply runs</t>
  </si>
  <si>
    <t>WL-MV-0003</t>
  </si>
  <si>
    <t>Speed Boat</t>
  </si>
  <si>
    <t>Jakir Hossain (WL-EMP-0011)</t>
  </si>
  <si>
    <t>Fast passenger/cargo</t>
  </si>
  <si>
    <t>Yes</t>
  </si>
  <si>
    <t>⚠ VERIFY: Same boat as SB1 at different time, or separate vessel? Confirm with Janaka.</t>
  </si>
  <si>
    <t>well land heavy</t>
  </si>
  <si>
    <t>barge</t>
  </si>
  <si>
    <t xml:space="preserve">  ANTRAC HOLDING / WELL LAND INVESTMENT  |  STAFF MASTER REGISTER</t>
  </si>
  <si>
    <t xml:space="preserve">  31 engaged  |  Add new staff in next empty row  |  Fill permit expiry — auto-highlights red at 30 days  |  Updated by: Well Land Ops</t>
  </si>
  <si>
    <t>Staff ID</t>
  </si>
  <si>
    <t>Full Name</t>
  </si>
  <si>
    <t>Designation</t>
  </si>
  <si>
    <t>Nationality</t>
  </si>
  <si>
    <t>Grade</t>
  </si>
  <si>
    <t>Joined Date</t>
  </si>
  <si>
    <t>Category</t>
  </si>
  <si>
    <t>Operator?</t>
  </si>
  <si>
    <t>Assigned Asset/Vessel</t>
  </si>
  <si>
    <t>Work Permit Status</t>
  </si>
  <si>
    <t>Contact No.</t>
  </si>
  <si>
    <t>WL-EMP-0001</t>
  </si>
  <si>
    <t>Ali Shameem</t>
  </si>
  <si>
    <t>Senior Captain</t>
  </si>
  <si>
    <t>Local/Maldivian</t>
  </si>
  <si>
    <t>G8</t>
  </si>
  <si>
    <t>01/02/2012</t>
  </si>
  <si>
    <t>WL-EMP-0002</t>
  </si>
  <si>
    <t>Anuar Hussain</t>
  </si>
  <si>
    <t>Crew, LCT 1</t>
  </si>
  <si>
    <t>Expat/Bangladeshi</t>
  </si>
  <si>
    <t>G6</t>
  </si>
  <si>
    <t>08/09/2015</t>
  </si>
  <si>
    <t>WL-EMP-0003</t>
  </si>
  <si>
    <t>Nasrulla Ali</t>
  </si>
  <si>
    <t>13/04/2016</t>
  </si>
  <si>
    <t>WL-EMP-0004</t>
  </si>
  <si>
    <t>Shahjalal</t>
  </si>
  <si>
    <t>Driver Cum Asst Mechanic</t>
  </si>
  <si>
    <t>17/05/2016</t>
  </si>
  <si>
    <t>Land/Terminal</t>
  </si>
  <si>
    <t>WL-EMP-0005</t>
  </si>
  <si>
    <t>MD Robel Miah</t>
  </si>
  <si>
    <t>Crew, Tug Boat</t>
  </si>
  <si>
    <t>WL-EMP-0006</t>
  </si>
  <si>
    <t>Mohammad Jakir Hossain</t>
  </si>
  <si>
    <t>04/06/2016</t>
  </si>
  <si>
    <t>WL-EMP-0007</t>
  </si>
  <si>
    <t>R L Walapita Godellage</t>
  </si>
  <si>
    <t>Crane Operator</t>
  </si>
  <si>
    <t>Expat/Sri Lankan</t>
  </si>
  <si>
    <t>G5</t>
  </si>
  <si>
    <t>15/05/2017</t>
  </si>
  <si>
    <t>WL-EMP-0008</t>
  </si>
  <si>
    <t>Mohammad Nurul Amin</t>
  </si>
  <si>
    <t>Welder</t>
  </si>
  <si>
    <t>31/05/2017</t>
  </si>
  <si>
    <t>WL-EMP-0009</t>
  </si>
  <si>
    <t>Janaka Prasath Ekanayake</t>
  </si>
  <si>
    <t>Senior Supervisor</t>
  </si>
  <si>
    <t>G3</t>
  </si>
  <si>
    <t>30/01/2018</t>
  </si>
  <si>
    <t>WL-EMP-0010</t>
  </si>
  <si>
    <t>Sheikh Mohamed Farid Miah</t>
  </si>
  <si>
    <t>16/06/2019</t>
  </si>
  <si>
    <t>WL-EMP-0011</t>
  </si>
  <si>
    <t>Jakir Hossain</t>
  </si>
  <si>
    <t>Crew, Speed Boat</t>
  </si>
  <si>
    <t>13/10/2018</t>
  </si>
  <si>
    <t>WL-EMP-0012</t>
  </si>
  <si>
    <t>Ala Uddin</t>
  </si>
  <si>
    <t>26/04/2018</t>
  </si>
  <si>
    <t>WL-EMP-0013</t>
  </si>
  <si>
    <t>Ibrahim Mohamed</t>
  </si>
  <si>
    <t>Supervisor Cum Mechanic</t>
  </si>
  <si>
    <t>G2</t>
  </si>
  <si>
    <t>01/01/2024</t>
  </si>
  <si>
    <t>WL-EMP-0014</t>
  </si>
  <si>
    <t>Mokhles</t>
  </si>
  <si>
    <t>G1</t>
  </si>
  <si>
    <t>14/03/2024</t>
  </si>
  <si>
    <t>WL-EMP-0015</t>
  </si>
  <si>
    <t>Mohammad Naim</t>
  </si>
  <si>
    <t>Terminal Staff</t>
  </si>
  <si>
    <t>23/03/2024</t>
  </si>
  <si>
    <t>WL-EMP-0016</t>
  </si>
  <si>
    <t>Asif Mia</t>
  </si>
  <si>
    <t>WL-EMP-0017</t>
  </si>
  <si>
    <t>MD Kamrul Islam</t>
  </si>
  <si>
    <t>Helper</t>
  </si>
  <si>
    <t>22/12/2024</t>
  </si>
  <si>
    <t>WL-EMP-0018</t>
  </si>
  <si>
    <t>Yeasin Miah</t>
  </si>
  <si>
    <t>14/02/2025</t>
  </si>
  <si>
    <t>WL-EMP-0019</t>
  </si>
  <si>
    <t>MD Moyna Mia</t>
  </si>
  <si>
    <t>Heavy Vehicle Driver</t>
  </si>
  <si>
    <t>21/05/2025</t>
  </si>
  <si>
    <t>WL-EMP-0020</t>
  </si>
  <si>
    <t>Eswararao Chekka</t>
  </si>
  <si>
    <t>Excavator Operator</t>
  </si>
  <si>
    <t>Expat/Indian</t>
  </si>
  <si>
    <t>29/07/2025</t>
  </si>
  <si>
    <t>WL-EMP-0021</t>
  </si>
  <si>
    <t>Soundarraj Muniyappan</t>
  </si>
  <si>
    <t>WL-EMP-0022</t>
  </si>
  <si>
    <t>Abdul Haq</t>
  </si>
  <si>
    <t>02/08/2025</t>
  </si>
  <si>
    <t>WL-EMP-0023</t>
  </si>
  <si>
    <t>MD Ramjan Mia</t>
  </si>
  <si>
    <t>26/08/2025</t>
  </si>
  <si>
    <t>WL-EMP-0024</t>
  </si>
  <si>
    <t>MD Sayed Mia</t>
  </si>
  <si>
    <t>Carpenter</t>
  </si>
  <si>
    <t>WL-EMP-0025</t>
  </si>
  <si>
    <t>Uzzal Sutradhar</t>
  </si>
  <si>
    <t>WL-EMP-0026</t>
  </si>
  <si>
    <t>Anish John</t>
  </si>
  <si>
    <t>24/11/2025</t>
  </si>
  <si>
    <t>WL-EMP-0027</t>
  </si>
  <si>
    <t>Easa Gasim</t>
  </si>
  <si>
    <t>02/12/2025</t>
  </si>
  <si>
    <t>WL-EMP-0028</t>
  </si>
  <si>
    <t>Jackson Ndirangu Nginga</t>
  </si>
  <si>
    <t>Mechanic</t>
  </si>
  <si>
    <t>Expat/Kenyan</t>
  </si>
  <si>
    <t>23/12/2025</t>
  </si>
  <si>
    <t>WL-EMP-0029</t>
  </si>
  <si>
    <t>Feroskhan Meerasa</t>
  </si>
  <si>
    <t>29/12/2025</t>
  </si>
  <si>
    <t>WL-EMP-0030</t>
  </si>
  <si>
    <t>Ali Mushthaq Ibrahim</t>
  </si>
  <si>
    <t>Well Land Ops / GM</t>
  </si>
  <si>
    <t>G0</t>
  </si>
  <si>
    <t>17/01/2026</t>
  </si>
  <si>
    <t>Management</t>
  </si>
  <si>
    <t>Dulip Priyankara</t>
  </si>
  <si>
    <t>Work Permit Processing</t>
  </si>
  <si>
    <t>WL-EMP-0032</t>
  </si>
  <si>
    <t>WL-EMP-0033</t>
  </si>
  <si>
    <t>WL-EMP-0034</t>
  </si>
  <si>
    <t>WL-EMP-0035</t>
  </si>
  <si>
    <t>WL-EMP-0036</t>
  </si>
  <si>
    <t>WL-EMP-0037</t>
  </si>
  <si>
    <t>WL-EMP-0038</t>
  </si>
  <si>
    <t>WL-EMP-0039</t>
  </si>
  <si>
    <t>WL-EMP-0040</t>
  </si>
  <si>
    <t xml:space="preserve">  WELL LAND INVESTMENT  |  VEHICLE OPERATORS &amp; ASSIGNMENT REGISTER</t>
  </si>
  <si>
    <t xml:space="preserve">  8 operators/drivers  |  Assign asset IDs when known  |  Verify location daily</t>
  </si>
  <si>
    <t>Operator Role</t>
  </si>
  <si>
    <t>Assigned Asset ID</t>
  </si>
  <si>
    <t>Asset Description</t>
  </si>
  <si>
    <t>Licence No. / Class</t>
  </si>
  <si>
    <t xml:space="preserve"> </t>
  </si>
  <si>
    <t>TADANO TR300EX</t>
  </si>
  <si>
    <t>Work Permit Processing — cannot operate</t>
  </si>
  <si>
    <t xml:space="preserve">  WELL LAND INVESTMENT  |  JANAKA DAILY ACTIVITY REPORT — THILAFUSHI BASE</t>
  </si>
  <si>
    <t xml:space="preserve">  JANAKA: Fill this sheet daily and send screenshot to Well Land Ops by 18:00  |  Each row = one vehicle or vessel event that day</t>
  </si>
  <si>
    <t>HOW TO USE:  Each row = one event (vehicle status, issue, ferry trip, PR request, delivery received, staff note).  
Fill Date, Type, Asset ID, Location, Description, and your name.  For PR requests: fill Urgency and Part/Item Needed columns.  
Send screenshot or photo to Well Land Ops WhatsApp by 18:00 daily.
URGENCY CODES:  CR = Critical (work stopped)   UR = Urgent (24-48hr delay)   RO = Routine
TYPE CODES:  VEH = Vehicle Status Update   PR = Parts Request   DEL = Delivery Received   VSSL = Vessel Update   STAFF = Staff Event   SITE = Site Update   OTHER</t>
  </si>
  <si>
    <t>Date</t>
  </si>
  <si>
    <t>Asset ID</t>
  </si>
  <si>
    <t>Asset Type</t>
  </si>
  <si>
    <t>Location</t>
  </si>
  <si>
    <t>Status / Description</t>
  </si>
  <si>
    <t>Part/Item Needed</t>
  </si>
  <si>
    <t>Qty</t>
  </si>
  <si>
    <t>Operator / Captain</t>
  </si>
  <si>
    <t>Fuel Level %</t>
  </si>
  <si>
    <t>Hours/Reading</t>
  </si>
  <si>
    <t>Reported By</t>
  </si>
  <si>
    <t>WL Ops Actioned?</t>
  </si>
  <si>
    <t>15/03/2026</t>
  </si>
  <si>
    <t>PR</t>
  </si>
  <si>
    <t>Hydraulic control valve and hose leaking — machine operational but requires repair soon</t>
  </si>
  <si>
    <t>CR</t>
  </si>
  <si>
    <t>Hydraulic control valve + hose — VOLVO A40G</t>
  </si>
  <si>
    <t>1 set</t>
  </si>
  <si>
    <t>Hose burst on 7 March — machine grounded — parts needed to restart</t>
  </si>
  <si>
    <t>Hydraulic hose — KOMATSU PC350</t>
  </si>
  <si>
    <t>1</t>
  </si>
  <si>
    <t>Sampath (via Janaka)</t>
  </si>
  <si>
    <t>04/04/2026</t>
  </si>
  <si>
    <t>SITE</t>
  </si>
  <si>
    <t>IEPL</t>
  </si>
  <si>
    <t>Engineer</t>
  </si>
  <si>
    <t>Mr. Venkata (IEPL field engineer) deployed to site by Mr. Hari Pilla (IEPL). FOC basis. Assigned to Komatsu PC350 fleet service.</t>
  </si>
  <si>
    <t>RO</t>
  </si>
  <si>
    <t>13/04/2026</t>
  </si>
  <si>
    <t>IEPL FOC period ended. Engineer charges of MVR 800/day now apply. Escalated to management.</t>
  </si>
  <si>
    <t>UR</t>
  </si>
  <si>
    <t>Escalated to Hameed</t>
  </si>
  <si>
    <t>15/04/2026</t>
  </si>
  <si>
    <t>DEL</t>
  </si>
  <si>
    <t>Arm and boom cylinder seal kits dispatched — en route via ferry.</t>
  </si>
  <si>
    <t>Arm &amp; boom seal kits — KOMATSU PC350</t>
  </si>
  <si>
    <t>VEH</t>
  </si>
  <si>
    <t>Pilot block replaced. Machine operated approx. 4 hrs. Pilot block failed again. Machine grounded.</t>
  </si>
  <si>
    <t>Yes — sourcing replacement</t>
  </si>
  <si>
    <t>Main hydraulic pump — one side failed. Machine grounded. Pump disassembled and inspected by Venkata (IEPL). Recon pump replacement recommended (USD 6,000 / ~30 days lead time). Decision pending Hameed.</t>
  </si>
  <si>
    <t>Reconditioned hydraulic pump — KOMATSU PC350</t>
  </si>
  <si>
    <t>Pending management decision</t>
  </si>
  <si>
    <t>Engine oil hose burst. Machine grounded immediately. Hose sent to Malé workshop for fabrication. 2 nos to be made and dispatched.</t>
  </si>
  <si>
    <t>Engine oil hose ×2 — KOMATSU PC350</t>
  </si>
  <si>
    <t>2</t>
  </si>
  <si>
    <t>Yes — fabrication in progress</t>
  </si>
  <si>
    <t>WL-HV-0006 / WL-HV-0007</t>
  </si>
  <si>
    <t>Excavator</t>
  </si>
  <si>
    <t>B.Atoll Ferry → Thulhaadhoo → Idrees → site</t>
  </si>
  <si>
    <t>DISPATCH: Engine oil hose ×2 (for WL-HV-0006) + hydraulic line adapter ×1 (for WL-HV-0007) sent via B.Atoll ferry. Idrees to collect at Thulhaadhoo and deliver to site.</t>
  </si>
  <si>
    <t>Engine oil hose ×2 / Hydraulic adapter ×1</t>
  </si>
  <si>
    <t>3 items</t>
  </si>
  <si>
    <t>Pending delivery confirmation</t>
  </si>
  <si>
    <t xml:space="preserve">  ANTRAC HOLDING  |  PURCHASE REQUEST LOG  (WL-REG-001) — Well Land · MPL · Other</t>
  </si>
  <si>
    <t xml:space="preserve">  Log EVERY PR: from Thilafushi, Sampath, or any site.  CRITICAL = same-day action.  All quotes + PO filed physically.</t>
  </si>
  <si>
    <t xml:space="preserve">  UNIT COLOUR:  ■ Well Land = Blue tint    ■ PLK (Petroleum Link) = Orange tint    ■ Both/Other = Grey    URGENCY:  ■ CRITICAL = Red    ■ URGENT = Amber    ■ ROUTINE = White</t>
  </si>
  <si>
    <t>PR Ref</t>
  </si>
  <si>
    <t>Business Unit</t>
  </si>
  <si>
    <t>Site / Location</t>
  </si>
  <si>
    <t>Item(s) Summary</t>
  </si>
  <si>
    <t>Vehicle / Asset Ref</t>
  </si>
  <si>
    <t># Quotes</t>
  </si>
  <si>
    <t>PO No.</t>
  </si>
  <si>
    <t>FC Approved?</t>
  </si>
  <si>
    <t>Vendor</t>
  </si>
  <si>
    <t>Date Ordered</t>
  </si>
  <si>
    <t>Dispatched?</t>
  </si>
  <si>
    <t>Delivered?</t>
  </si>
  <si>
    <t>Status / Notes</t>
  </si>
  <si>
    <t>Well Land</t>
  </si>
  <si>
    <t>Janaka / Sampath</t>
  </si>
  <si>
    <t>Hydraulic control valve + hose — Hauler Dump Truck VOLVO A40G</t>
  </si>
  <si>
    <t>Open — obtain quotes</t>
  </si>
  <si>
    <t>WL-PR-0002</t>
  </si>
  <si>
    <t>Hydraulic hose burst — High Bed Excavator KOMATSU PC350</t>
  </si>
  <si>
    <t>Open — verify location, obtain quotes</t>
  </si>
  <si>
    <t>WL-PR-0003</t>
  </si>
  <si>
    <t>08/04/2026</t>
  </si>
  <si>
    <t>Mushthaq / Hari (IEPL)</t>
  </si>
  <si>
    <t>Bodufinolhu &amp; Muthaafushi</t>
  </si>
  <si>
    <t>Pilot Block — KOMATSU PC350-7. IEPL-EX-QT-004/26-27 dated 08 Apr 2026. USD 800 part + USD 250 air freight = USD 1,050 CNF Malé. MVR equivalent quote requested.</t>
  </si>
  <si>
    <t>Infra Engineers India (Mr. Hari Pilla)</t>
  </si>
  <si>
    <t>Quote received. Awaiting MVR quote and management approval. Note: Sri Lanka supplier previously quoted MVR 3,785 (new part) — significantly lower.</t>
  </si>
  <si>
    <t>Venkata (IEPL) / Mushthaq</t>
  </si>
  <si>
    <t>Hydraulic pump solenoid valve ×2 — KOMATSU PC350. 1 nos held by Venkata at site. 1 nos to order. Total MVR 7,992.</t>
  </si>
  <si>
    <t>1 nos physically at site with Venkata — payment outstanding. 1 nos to be ordered. Resolve payment to release part.</t>
  </si>
  <si>
    <t>Hydraulic line adapter / elbow fitting — KOMATSU PC350. No standard part available in Maldives. Custom fabrication at Ex Ceylon Engineering, Malé.</t>
  </si>
  <si>
    <t>0</t>
  </si>
  <si>
    <t>Ex Ceylon Engineering (fabrication)</t>
  </si>
  <si>
    <t>Yes — 22 Apr ferry</t>
  </si>
  <si>
    <t>Part fabricated and ready. Dispatching 22 Apr via B.Atoll ferry → Thulhaadhoo → Idrees → site.</t>
  </si>
  <si>
    <t>Engine oil hose ×2 — KOMATSU PC350. Hose burst 20 Apr 2026. Sent to Malé workshop for fabrication.</t>
  </si>
  <si>
    <t>Workshop Malé (fabrication)</t>
  </si>
  <si>
    <t>Fabrication in progress. 2 nos to be dispatched via B.Atoll ferry 22 Apr → Thulhaadhoo → Idrees → site.</t>
  </si>
  <si>
    <t>WL-PR-0007</t>
  </si>
  <si>
    <t>Apr 2026</t>
  </si>
  <si>
    <t>Hydraulic main filter — KOMATSU PC350. 1 nos replacement dispatched to site.</t>
  </si>
  <si>
    <t>Pending confirmation</t>
  </si>
  <si>
    <t>Dispatched. Confirm receipt with Sampath / Janaka.</t>
  </si>
  <si>
    <t>WL-PR-0008</t>
  </si>
  <si>
    <t>Hydraulic strainer filter — KOMATSU PC350. 1 nos dispatched to site.</t>
  </si>
  <si>
    <t>Sampath / Mushthaq</t>
  </si>
  <si>
    <t>Arm and boom cylinder seal kits — KOMATSU PC350. Dispatched approx. 15 Apr 2026.</t>
  </si>
  <si>
    <t>Dispatched ~5 days ago. Repair in progress on site. Confirm receipt and installation status with Sampath.</t>
  </si>
  <si>
    <t>Reconditioned main hydraulic pump — KOMATSU PC350 (Part No. 708-2G-00024). Quoted USD 6,000 via IEPL. Shipping lead time ~30 days.</t>
  </si>
  <si>
    <t>PENDING MANAGEMENT DECISION (Hameed). New pump not recommended — cascade failure risk on aged circuit. Reconditioned preferred. Engineer cost MVR 800/day accruing from 13 Apr 2026.</t>
  </si>
  <si>
    <t>WL-PR-0011</t>
  </si>
  <si>
    <t>Track line — KOMATSU PC70-8 (WL-HV-0018). No standard part. Fabrication from Teflon material. Source: RKL Maldives.</t>
  </si>
  <si>
    <t>RKL Maldives (supply) + Workshop (fabrication)</t>
  </si>
  <si>
    <t>Custom fabrication required. Check RKL Maldives for Teflon stock. In progress.</t>
  </si>
  <si>
    <t xml:space="preserve">  WELL LAND INVESTMENT  |  RENTAL INQUIRY &amp; SALES CONVERSION LOG  (WL-REG-003)</t>
  </si>
  <si>
    <t xml:space="preserve">  Every inquiry logged — available or not  |  Rental = Thilafushi base ONLY  |  Currently ZERO eligible (base down)  |  Sales target: set monthly</t>
  </si>
  <si>
    <t xml:space="preserve">  ⚠  AVAILABILITY RULE: Before confirming any rental, verify Fleet Status sheet — vehicle must be at THILAFUSHI BASE with status Operational or Standby. 
Project-site vehicles CANNOT be rented. When Thilafushi base is operational, check for verified conditions (not Unknown) before quoting.</t>
  </si>
  <si>
    <t>Inquiry Ref</t>
  </si>
  <si>
    <t>Customer</t>
  </si>
  <si>
    <t>Contact</t>
  </si>
  <si>
    <t>Vehicle Type Requested</t>
  </si>
  <si>
    <t>Duration / Dates</t>
  </si>
  <si>
    <t>Available?</t>
  </si>
  <si>
    <t>Unavailability Reason</t>
  </si>
  <si>
    <t>Quotation Sent?</t>
  </si>
  <si>
    <t>Confirmed?</t>
  </si>
  <si>
    <t>Quoted Amt (MVR)</t>
  </si>
  <si>
    <t>Actual Amt (MVR)</t>
  </si>
  <si>
    <t>Decline Reason / Notes</t>
  </si>
  <si>
    <t xml:space="preserve">  WELL LAND INVESTMENT  |  ASSET DOCUMENT VAULT  — Vehicles · Vessels · Registration · Insurance · Compliance</t>
  </si>
  <si>
    <t xml:space="preserve">  Collect and log all documents for every asset  |  Required for rental customers  |  Required for compliance  |  ⚠ = missing/expired</t>
  </si>
  <si>
    <t xml:space="preserve">  PART A — HEAVY VEHICLES  (Documents required per vehicle: Registration, Insurance, Owner Manual, Service History, Operator Licence Compliance)</t>
  </si>
  <si>
    <t>Brand / Model</t>
  </si>
  <si>
    <t>Registration No.</t>
  </si>
  <si>
    <t>Insurance Policy No.</t>
  </si>
  <si>
    <t>Reg Expiry</t>
  </si>
  <si>
    <t>Owner Manual?</t>
  </si>
  <si>
    <t>Service Records?</t>
  </si>
  <si>
    <t>Operator Cert Required?</t>
  </si>
  <si>
    <t>Last Service Date</t>
  </si>
  <si>
    <t>Document Location / Notes</t>
  </si>
  <si>
    <t>VOLVO A40G</t>
  </si>
  <si>
    <t>⚠ At Bodufinolhu site. Condition unverified. Inspect before any rental.</t>
  </si>
  <si>
    <t>SCR delete procedure completed (Apr 2026). Known issue: hydraulic control valve/hose leaking — PR WL-PR-0001 open.</t>
  </si>
  <si>
    <t>ISUZU 14T</t>
  </si>
  <si>
    <t>⚠ Condition unverified — inspect before renting.</t>
  </si>
  <si>
    <t>UD NISSAN 14T</t>
  </si>
  <si>
    <t>KOBELCO SK380</t>
  </si>
  <si>
    <t>Muthaafushi. Operational. Air filter due — can be cleaned. Obtain service records.</t>
  </si>
  <si>
    <t>KOMATSU PC350</t>
  </si>
  <si>
    <t>GROUNDED. Multiple faults: engine oil hose, pilot block, solenoid, filters. Obtain full service history. See Fleet Status WL-HV-0006.</t>
  </si>
  <si>
    <t>GROUNDED. Hydraulic pump failure + pilot block + solenoid + adapter faults. Obtain full service history. See Fleet Status WL-HV-0007. Note: purchased used — Hari Pilla (IEPL) was original supplier.</t>
  </si>
  <si>
    <t>Operational (minor issue). Arm/boom seals being replaced. Obtain service records.</t>
  </si>
  <si>
    <t>⚠ Location unknown — verify with Sampath / Janaka. Obtain service records once located.</t>
  </si>
  <si>
    <t>Operational at Thilafushi. Minor issue noted. Obtain service records.</t>
  </si>
  <si>
    <t>KOBELCO SK235</t>
  </si>
  <si>
    <t>Operational at Muthaafushi. Obtain service records.</t>
  </si>
  <si>
    <t>KUBOTA 50</t>
  </si>
  <si>
    <t>NISSAN 5T Forklift</t>
  </si>
  <si>
    <t>Operational at Thilafushi. Obtain service records.</t>
  </si>
  <si>
    <t>BOBCAT S450</t>
  </si>
  <si>
    <t>AF 6T Pickup</t>
  </si>
  <si>
    <t>CAT Loader</t>
  </si>
  <si>
    <t>Excavator (New)</t>
  </si>
  <si>
    <t>XCMG XE60WG</t>
  </si>
  <si>
    <t>Al Dahr / Rolman PI93510 EX#1488. Arrived Thilafushi. ⚠ Obtain registration, insurance, owner manual urgently.</t>
  </si>
  <si>
    <t>KOMATSU PC70-8</t>
  </si>
  <si>
    <t>Assigned to Alia Investment (Thilafushi). Track line damaged — Teflon fabrication in progress (check RKL Maldives). ⚠ Obtain all docs.</t>
  </si>
  <si>
    <t>CAT 323D3</t>
  </si>
  <si>
    <t>— (to confirm)</t>
  </si>
  <si>
    <t>New unit at Thilafushi. ⚠ Engine No. to be confirmed. Obtain all docs urgently.</t>
  </si>
  <si>
    <t>SUMITOMO SH220LC6</t>
  </si>
  <si>
    <t>New unit at Thilafushi. ⚠ Obtain all docs urgently.</t>
  </si>
  <si>
    <t xml:space="preserve">  PART B — MARINE VESSELS  (Registration, Survey Certificate, Seafarer Permits, Insurance, Permit from MNDF/MPA)</t>
  </si>
  <si>
    <t>Name</t>
  </si>
  <si>
    <t>Hull/IMO</t>
  </si>
  <si>
    <t>Survey Cert No.</t>
  </si>
  <si>
    <t>Survey Expiry</t>
  </si>
  <si>
    <t>Permit No. (MNDF/MPA)</t>
  </si>
  <si>
    <t>Insurance No.</t>
  </si>
  <si>
    <t>Captain Cert No.</t>
  </si>
  <si>
    <t>Last Survey Date</t>
  </si>
  <si>
    <t>Document Status / Notes</t>
  </si>
  <si>
    <t>⚠ Drydocked — verify identity before any activity</t>
  </si>
  <si>
    <t xml:space="preserve">  WELL LAND INVESTMENT  |  COMPLIANCE &amp; GOVERNMENT FEES CALENDAR</t>
  </si>
  <si>
    <t xml:space="preserve">  Track ALL renewals: permits, GST, BPT, work permits, insurance, vessel surveys, vehicle registrations  |  ⚠ = due within 60 days</t>
  </si>
  <si>
    <t xml:space="preserve">  All amounts in MVR.  Dates auto-highlight RED when within 60 days of due date.  Add new rows as needed.  Source documents filed in Document Vault sheet.</t>
  </si>
  <si>
    <t>Description</t>
  </si>
  <si>
    <t>Entity</t>
  </si>
  <si>
    <t>Asset / Ref</t>
  </si>
  <si>
    <t>Frequency</t>
  </si>
  <si>
    <t>Last Paid / Filed</t>
  </si>
  <si>
    <t>Amount (MVR)</t>
  </si>
  <si>
    <t>Next Due Date</t>
  </si>
  <si>
    <t>Lead Time Needed</t>
  </si>
  <si>
    <t>Responsible</t>
  </si>
  <si>
    <t>Vehicle Reg</t>
  </si>
  <si>
    <t>Vehicle Registration Renewal</t>
  </si>
  <si>
    <t>All vehicles (do per asset)</t>
  </si>
  <si>
    <t>Annual</t>
  </si>
  <si>
    <t>30 days</t>
  </si>
  <si>
    <t>Well Land Ops</t>
  </si>
  <si>
    <t>Fill per vehicle</t>
  </si>
  <si>
    <t>Vehicle Insurance Renewal</t>
  </si>
  <si>
    <t>Vessel</t>
  </si>
  <si>
    <t>Vessel Survey Certificate — LCT 1</t>
  </si>
  <si>
    <t>Annual/Biennial</t>
  </si>
  <si>
    <t>MPA / MNDF — obtain current status</t>
  </si>
  <si>
    <t>Vessel Survey Certificate — Dhoni 1</t>
  </si>
  <si>
    <t>MPA / MNDF</t>
  </si>
  <si>
    <t>Vessel Survey Certificate — Speed Boat 1</t>
  </si>
  <si>
    <t>Vessel Permit — LCT 1 (MNDF/MPA)</t>
  </si>
  <si>
    <t>Vessel Permit — Dhoni 1 (MNDF/MPA)</t>
  </si>
  <si>
    <t>Vessel Insurance — LCT 1</t>
  </si>
  <si>
    <t>Vessel Insurance — Dhoni 1</t>
  </si>
  <si>
    <t>Work Permit</t>
  </si>
  <si>
    <t>Work Permit — Expat staff (per employee)</t>
  </si>
  <si>
    <t>All expat staff</t>
  </si>
  <si>
    <t>~29 expats — manage per person in Staff sheet</t>
  </si>
  <si>
    <t>Work Permit — Dulip Priyankara</t>
  </si>
  <si>
    <t>Processing — not yet active</t>
  </si>
  <si>
    <t>Tax</t>
  </si>
  <si>
    <t>Business Profit Tax (BPT) — Filing</t>
  </si>
  <si>
    <t>Company</t>
  </si>
  <si>
    <t>MRA filing</t>
  </si>
  <si>
    <t>GST — Rental Income (if applicable)</t>
  </si>
  <si>
    <t>Rental revenue</t>
  </si>
  <si>
    <t>Quarterly</t>
  </si>
  <si>
    <t>If Well Land is GST registered</t>
  </si>
  <si>
    <t>GST — Petroleum Link (PLK)</t>
  </si>
  <si>
    <t>PLK</t>
  </si>
  <si>
    <t>Coordinate with PLK accounts</t>
  </si>
  <si>
    <t>Compliance</t>
  </si>
  <si>
    <t>Labour Relations Authority — Staff Register</t>
  </si>
  <si>
    <t>All staff</t>
  </si>
  <si>
    <t>Submit to LRA</t>
  </si>
  <si>
    <t>Immigration — Expat Quota</t>
  </si>
  <si>
    <t>Expat staff</t>
  </si>
  <si>
    <t>Renew quota for expat positions</t>
  </si>
  <si>
    <t>Thilafushi Lease / Land Rent</t>
  </si>
  <si>
    <t>Thilafushi Base</t>
  </si>
  <si>
    <t>Base lease renewal if applicable</t>
  </si>
  <si>
    <t>Other</t>
  </si>
  <si>
    <t>Add row for each additional fee →</t>
  </si>
  <si>
    <t xml:space="preserve">  WELL LAND INVESTMENT  |  PHONE INQUIRY LOG  — ANSWER EVERY CALL · LOG EVERY CALL</t>
  </si>
  <si>
    <t xml:space="preserve">  This is the number Moosabey managed. Every call is a business event. Log before you do anything.</t>
  </si>
  <si>
    <t>Time</t>
  </si>
  <si>
    <t>Caller</t>
  </si>
  <si>
    <t>Call Type</t>
  </si>
  <si>
    <t>Request / Details</t>
  </si>
  <si>
    <t>Action</t>
  </si>
  <si>
    <t>Follow-Up Date</t>
  </si>
  <si>
    <t>Logged in PR/Rental?</t>
  </si>
  <si>
    <t>Closed?</t>
  </si>
  <si>
    <t xml:space="preserve">  WELL LAND OPS DAILY LOG  |  One row per day  |  Running record of all operational activity</t>
  </si>
  <si>
    <t xml:space="preserve">  Fill daily — even partial entries. This is your record of what happened and why decisions were made.</t>
  </si>
  <si>
    <t>PRs Received</t>
  </si>
  <si>
    <t>Rental Inquiries</t>
  </si>
  <si>
    <t>Fleet / Vessel Events</t>
  </si>
  <si>
    <t>Staff Issues</t>
  </si>
  <si>
    <t>Director Conversations</t>
  </si>
  <si>
    <t>Purchases / Payments</t>
  </si>
  <si>
    <t>Escalations / Critical</t>
  </si>
  <si>
    <t>Compliance Actions</t>
  </si>
  <si>
    <t>Notes / Tomorrow</t>
  </si>
  <si>
    <t>WL-PR-0001, WL-PR-0002</t>
  </si>
  <si>
    <t>VOLVO A40G hydraulic hose issue flagged (Muthaafushi). KOMATSU PC350 hose burst 7 Mar reported.</t>
  </si>
  <si>
    <t>Two CRITICAL PRs raised. Both open.</t>
  </si>
  <si>
    <t>Obtain quotes for both. Verify PC350 location.</t>
  </si>
  <si>
    <t>IEPL engineer Mr. Venkata deployed to Bodufinolhu — FOC basis, effective today.</t>
  </si>
  <si>
    <t>Monitor FOC period — ends 13 Apr.</t>
  </si>
  <si>
    <t>Pilot block quotation received from IEPL — USD 1,050 CNF Malé (IEPL-EX-QT-004/26-27).</t>
  </si>
  <si>
    <t>Reviewed quote with Mr. Hari Pilla (IEPL).</t>
  </si>
  <si>
    <t>Request MVR equivalent. Compare with Sri Lanka supplier (MVR 3,785 for same part).</t>
  </si>
  <si>
    <t>IEPL FOC period ended. MVR 800/day engineer charges now accruing.</t>
  </si>
  <si>
    <t>Engineer cost accruing daily — escalate to Hameed for pump decision ASAP.</t>
  </si>
  <si>
    <t>Push Hameed for decision before further cost accumulates.</t>
  </si>
  <si>
    <t>Arm and boom seal kits dispatched to Bodufinolhu for WL-HV-0008.</t>
  </si>
  <si>
    <t>Seal kits purchased and dispatched.</t>
  </si>
  <si>
    <t>Confirm receipt with Sampath.</t>
  </si>
  <si>
    <t>WL-PR-0006, WL-PR-0010</t>
  </si>
  <si>
    <t>WL-HV-0006 engine oil hose burst (Muthaafushi). WL-HV-0007 hydraulic pump failed (Bodufinolhu). Meeting held with Mr. Hari Pilla — Komatsu fleet uptime discussion. Fleet status confirmed: 2 machines down, multiple parts pending.</t>
  </si>
  <si>
    <t>Meeting with Mr. Hari Pilla (IEPL). Fleet situation briefed. To be escalated to Hameed for pump replacement decision.</t>
  </si>
  <si>
    <t>CRITICAL: 2 machines simultaneously down. Pump replacement decision needed urgently. Solenoid payment outstanding.</t>
  </si>
  <si>
    <t>Dispatch parts via ferry 22 Apr. Get Hameed decision today.</t>
  </si>
  <si>
    <t>DISPATCH: Engine oil hose ×2 + hydraulic adapter ×1 sent via B.Atoll ferry → Thulhaadhoo → Idrees → site.</t>
  </si>
  <si>
    <t>Parts dispatched.</t>
  </si>
  <si>
    <t>Confirm Idrees collects at Thulhaadhoo and delivers to site.</t>
  </si>
  <si>
    <t>Follow up delivery confirmation with Sampath / Janaka.</t>
  </si>
  <si>
    <t xml:space="preserve">  WELL LAND INVESTMENT  |  OPS REGISTER — GUIDE &amp; QUICK REFERENCE</t>
  </si>
  <si>
    <t>DAILY ROUTINE</t>
  </si>
  <si>
    <t>1. Start of day</t>
  </si>
  <si>
    <t>Open 📅 Daily Log → note today's date. Open 📋 Janaka Daily Log → check if previous day report arrived.</t>
  </si>
  <si>
    <t>2. Fleet check</t>
  </si>
  <si>
    <t>Open 🚛 Fleet Status → update any changes from Janaka's WhatsApp report. Key: location + status + any new issues.</t>
  </si>
  <si>
    <t>3. New PR arrives</t>
  </si>
  <si>
    <t>📋 PR Log → add row immediately. Fill urgency. If CRITICAL, act same day — get quotes.</t>
  </si>
  <si>
    <t>4. Phone rings</t>
  </si>
  <si>
    <t>📞 Call Log → log before doing anything. If rental: check 🚛 Fleet Status first, then log in 💰 Rental Log.</t>
  </si>
  <si>
    <t>5. Rental inquiry</t>
  </si>
  <si>
    <t>💰 Rental Log → only quote if vehicle at Thilafushi AND status OP/Standby AND condition verified.</t>
  </si>
  <si>
    <t>6. Compliance check</t>
  </si>
  <si>
    <t>📅 Compliance → weekly scan for any red-highlighted due dates. Act 30+ days ahead.</t>
  </si>
  <si>
    <t>7. End of day</t>
  </si>
  <si>
    <t>📅 Daily Log → fill today's row. Note any carry-forwards.</t>
  </si>
  <si>
    <t>SHEETS</t>
  </si>
  <si>
    <t>📊 Dashboard</t>
  </si>
  <si>
    <t>Overview. KPI boxes for fleet/marine/staff counts. Open actions table — fill manually daily.</t>
  </si>
  <si>
    <t>🚛 Fleet Status</t>
  </si>
  <si>
    <t>20 vehicles. Rental Eligible column is a formula — auto-calculates from Location+Status. Update from Janaka reports.</t>
  </si>
  <si>
    <t>⚓ Marine Vessels</t>
  </si>
  <si>
    <t>4 vessels. Fill permit and insurance expiry dates — auto-alerts at 60 days.</t>
  </si>
  <si>
    <t>👥 Staff Register</t>
  </si>
  <si>
    <t>31 staff + 9 blank rows for new hires. Permit expiry auto-alerts at 30 days.</t>
  </si>
  <si>
    <t>🔧 Operators</t>
  </si>
  <si>
    <t>8 operators. Assign asset IDs when you know who is on which machine.</t>
  </si>
  <si>
    <t>📋 Janaka Daily Log</t>
  </si>
  <si>
    <t>Janaka fills this (or screenshots to WhatsApp daily). Well Land Ops updates fleet sheet from it.</t>
  </si>
  <si>
    <t>📦 PR Log</t>
  </si>
  <si>
    <t>Every purchase request — Antrac-wide. Unit column colour-coded: blue=Well Land, orange=PLK.</t>
  </si>
  <si>
    <t>💰 Rental Log</t>
  </si>
  <si>
    <t>Every rental inquiry. Even when unavailable — log reason. Builds conversion data.</t>
  </si>
  <si>
    <t>📂 Document Vault</t>
  </si>
  <si>
    <t>Every document needed per vehicle and vessel. Fill when you collect physical docs.</t>
  </si>
  <si>
    <t>📅 Compliance</t>
  </si>
  <si>
    <t>All government fees, permits, taxes, renewals. Fill 'Next Due Date' — auto-highlights red at 60 days.</t>
  </si>
  <si>
    <t>📞 Call Log</t>
  </si>
  <si>
    <t>Every call. Log before acting. Links back to PR or Rental log.</t>
  </si>
  <si>
    <t>📅 Daily Log</t>
  </si>
  <si>
    <t>One row per day. Your running operational journal.</t>
  </si>
  <si>
    <t>RENTAL ELIGIBILITY RULES</t>
  </si>
  <si>
    <t>Rule 1</t>
  </si>
  <si>
    <t>ONLY vehicles at THILAFUSHI BASE are ever rental-eligible. Project site vehicles are 100% excluded.</t>
  </si>
  <si>
    <t>Rule 2</t>
  </si>
  <si>
    <t>Thilafushi base is currently DOWN. Rental eligibility = 0 until base is back up.</t>
  </si>
  <si>
    <t>Rule 3</t>
  </si>
  <si>
    <t>Condition must NOT be Unknown before quoting a customer. Verify first, quote after.</t>
  </si>
  <si>
    <t>Rule 4</t>
  </si>
  <si>
    <t>Vehicle status must be Operational or Standby. Grounded, Under Maintenance, etc. = not eligible.</t>
  </si>
  <si>
    <t>Rule 5</t>
  </si>
  <si>
    <t>Rental Eligible column in Fleet sheet is a formula — it auto-calculates. Do not manually override it.</t>
  </si>
  <si>
    <t>KNOWN ACTIONS (from launch data)</t>
  </si>
  <si>
    <t>CRITICAL: VOLVO A40G at Muthaafushi — hydraulic control valve/hose leaking. PR raised as WL-PR-0001.</t>
  </si>
  <si>
    <t>CRITICAL: KOMATSU PC350 High Bed — hose burst 7 March. PR raised as WL-PR-0002. Verify location.</t>
  </si>
  <si>
    <t>WL-HV-0017~20</t>
  </si>
  <si>
    <t>4 new excavators — no brand/model/location yet. Obtain specs and all documentation urgently.</t>
  </si>
  <si>
    <t>11 vehicles</t>
  </si>
  <si>
    <t>WL-HV-0005 through 0016 (exc. 0010, 0013, 0015) — location and condition unknown. Verify with Janaka.</t>
  </si>
  <si>
    <t>Speed Boat 2 drydocked — verify with Janaka if same asset as Speed Boat 1 or separate vessel.</t>
  </si>
  <si>
    <t>Dulip Priyankara — work permit still processing. Cannot operate any vehicle until cleared.</t>
  </si>
  <si>
    <t>All vessels</t>
  </si>
  <si>
    <t>Permit and insurance expiry dates missing. Collect from actual documents and fill Document Vault.</t>
  </si>
  <si>
    <t>SCR Delete procedure service ongoing -works to proceed after 50% payment</t>
  </si>
  <si>
    <t>Anish</t>
  </si>
  <si>
    <t>Feros</t>
  </si>
  <si>
    <t>Soundaraj</t>
  </si>
  <si>
    <t>Eswarro</t>
  </si>
  <si>
    <t>Unknown — verify</t>
  </si>
  <si>
    <t xml:space="preserve">Unknown — verify </t>
  </si>
  <si>
    <t>1. Pilot block failed — failed after 4 hrs post-repair; replacement parts being sourced
2. Solenoid valve x2 required — 1 in hand, 1 on order
3. Hydraulic main filter — replacement dispatched (1 nos)
4. Hydraulic strainer filter — dispatched to site (1 nos)
GROUNDED — Multiple active faults (20 Apr 2026):
① Engine oil hose burst — hose sent to Malé workshop for fabrication. 2 nos to be dispatched via B.Atoll ferry 22 Apr → Thulhaadhoo → Idrees → site.
② Pilot block failed after only 4 hrs post-repair. IEPL quote: USD 1,050 CNF Malé (IEPL-EX-QT-004/26-27). MVR quote requested.
③ Solenoid valve ×2 — 1 nos in hand at site, 1 nos on order. Quoted MVR 7,992 for set.
④ Hydraulic main filter — replacement dispatched (1 nos).
⑤ Hydraulic strainer filter — dispatched to site (1 nos).
Logistics: All parts via B.Atoll ferry → Thulhaadhoo → collected by Idrees → site.</t>
  </si>
  <si>
    <t>Boom bush and pin issue
Pin dispatched
Bush measurements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</si>
</sst>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b/>
      <sz val="11"/>
      <color rgb="FFE8EFF8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22"/>
      <color rgb="FF1A2B4A"/>
      <name val="Arial"/>
      <family val="2"/>
    </font>
    <font>
      <i/>
      <sz val="9"/>
      <color rgb="FF666666"/>
      <name val="Arial"/>
      <family val="2"/>
    </font>
    <font>
      <sz val="10"/>
      <color rgb="FF000000"/>
      <name val="Arial"/>
      <family val="2"/>
    </font>
    <font>
      <sz val="10"/>
      <color rgb="FFC0392B"/>
      <name val="Arial"/>
      <family val="2"/>
    </font>
    <font>
      <b/>
      <sz val="10"/>
      <color rgb="FFC0392B"/>
      <name val="Arial"/>
      <family val="2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C8860A"/>
      <name val="Arial"/>
      <family val="2"/>
    </font>
    <font>
      <b/>
      <sz val="10"/>
      <color rgb="FF1A6B3A"/>
      <name val="Arial"/>
      <family val="2"/>
    </font>
    <font>
      <i/>
      <sz val="9"/>
      <color rgb="FFBBBBBB"/>
      <name val="Arial"/>
      <family val="2"/>
    </font>
    <font>
      <b/>
      <sz val="10"/>
      <color rgb="FF1A2B4A"/>
      <name val="Arial"/>
      <family val="2"/>
    </font>
    <font>
      <sz val="10"/>
      <color rgb="FFC8860A"/>
      <name val="Arial"/>
      <family val="2"/>
    </font>
    <font>
      <sz val="9"/>
      <color rgb="FFAAAAAA"/>
      <name val="Arial"/>
      <family val="2"/>
    </font>
    <font>
      <sz val="10"/>
      <color rgb="FF333333"/>
      <name val="Arial"/>
      <family val="2"/>
    </font>
    <font>
      <b/>
      <sz val="10"/>
      <color rgb="FFC8860A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0"/>
      <color rgb="FF1A6B3A"/>
      <name val="Arial"/>
      <family val="2"/>
    </font>
    <font>
      <b/>
      <sz val="10"/>
      <color rgb="FF006B6B"/>
      <name val="Arial"/>
      <family val="2"/>
    </font>
    <font>
      <sz val="10"/>
      <color rgb="FFC0392B"/>
      <name val="Arial"/>
      <family val="2"/>
    </font>
    <font>
      <b/>
      <sz val="10"/>
      <color theme="3"/>
      <name val="Arial"/>
      <family val="2"/>
    </font>
    <font>
      <sz val="10"/>
      <color theme="5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1A2B4A"/>
      </patternFill>
    </fill>
    <fill>
      <patternFill patternType="solid">
        <fgColor rgb="FF2E5FA3"/>
      </patternFill>
    </fill>
    <fill>
      <patternFill patternType="solid">
        <fgColor rgb="FFE8EFF8"/>
      </patternFill>
    </fill>
    <fill>
      <patternFill patternType="solid">
        <fgColor rgb="FFF0F4F8"/>
      </patternFill>
    </fill>
    <fill>
      <patternFill patternType="solid">
        <fgColor rgb="FF006B6B"/>
      </patternFill>
    </fill>
    <fill>
      <patternFill patternType="solid">
        <fgColor rgb="FFE0F4F4"/>
      </patternFill>
    </fill>
    <fill>
      <patternFill patternType="solid">
        <fgColor rgb="FFC0392B"/>
      </patternFill>
    </fill>
    <fill>
      <patternFill patternType="solid">
        <fgColor rgb="FFFFEEEE"/>
      </patternFill>
    </fill>
    <fill>
      <patternFill patternType="solid">
        <fgColor rgb="FFC8860A"/>
      </patternFill>
    </fill>
    <fill>
      <patternFill patternType="solid">
        <fgColor rgb="FFFFF8DC"/>
      </patternFill>
    </fill>
    <fill>
      <patternFill patternType="solid">
        <fgColor rgb="FF1A6B3A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0E0"/>
      </patternFill>
    </fill>
    <fill>
      <patternFill patternType="solid">
        <fgColor rgb="FFFDECEA"/>
      </patternFill>
    </fill>
    <fill>
      <patternFill patternType="solid">
        <fgColor rgb="FFFFDDDD"/>
      </patternFill>
    </fill>
    <fill>
      <patternFill patternType="solid">
        <fgColor rgb="FFFAFAFA"/>
      </patternFill>
    </fill>
    <fill>
      <patternFill patternType="solid">
        <fgColor rgb="FFF3E5F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1A2B4A"/>
      </left>
      <right style="thin">
        <color rgb="FF1A2B4A"/>
      </right>
      <top style="thin">
        <color rgb="FF1A2B4A"/>
      </top>
      <bottom style="thin">
        <color rgb="FF1A2B4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7" fillId="14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12" fillId="11" borderId="2" xfId="0" applyFont="1" applyFill="1" applyBorder="1" applyAlignment="1">
      <alignment horizontal="left" vertical="center" wrapText="1"/>
    </xf>
    <xf numFmtId="0" fontId="9" fillId="18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12" fillId="16" borderId="2" xfId="0" applyFont="1" applyFill="1" applyBorder="1" applyAlignment="1">
      <alignment horizontal="left" vertical="center" wrapText="1"/>
    </xf>
    <xf numFmtId="0" fontId="13" fillId="13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14" fillId="19" borderId="3" xfId="0" applyFont="1" applyFill="1" applyBorder="1"/>
    <xf numFmtId="0" fontId="0" fillId="19" borderId="3" xfId="0" applyFill="1" applyBorder="1"/>
    <xf numFmtId="0" fontId="4" fillId="12" borderId="4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15" borderId="3" xfId="0" applyFont="1" applyFill="1" applyBorder="1" applyAlignment="1">
      <alignment horizontal="left" vertical="center" wrapText="1"/>
    </xf>
    <xf numFmtId="0" fontId="7" fillId="14" borderId="3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left" vertical="center" wrapText="1"/>
    </xf>
    <xf numFmtId="0" fontId="17" fillId="15" borderId="3" xfId="0" applyFont="1" applyFill="1" applyBorder="1" applyAlignment="1">
      <alignment horizontal="center" vertical="center"/>
    </xf>
    <xf numFmtId="0" fontId="17" fillId="14" borderId="3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left" vertical="top" wrapText="1"/>
    </xf>
    <xf numFmtId="0" fontId="7" fillId="14" borderId="3" xfId="0" applyFont="1" applyFill="1" applyBorder="1" applyAlignment="1">
      <alignment horizontal="left" vertical="top" wrapText="1"/>
    </xf>
    <xf numFmtId="0" fontId="15" fillId="15" borderId="2" xfId="0" applyFont="1" applyFill="1" applyBorder="1" applyAlignment="1">
      <alignment horizontal="left" vertical="center" wrapText="1"/>
    </xf>
    <xf numFmtId="0" fontId="18" fillId="15" borderId="2" xfId="0" applyFont="1" applyFill="1" applyBorder="1" applyAlignment="1">
      <alignment horizontal="left" vertical="center" wrapText="1"/>
    </xf>
    <xf numFmtId="0" fontId="15" fillId="14" borderId="2" xfId="0" applyFont="1" applyFill="1" applyBorder="1" applyAlignment="1">
      <alignment horizontal="left" vertical="center" wrapText="1"/>
    </xf>
    <xf numFmtId="0" fontId="18" fillId="14" borderId="2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1" fillId="14" borderId="2" xfId="0" applyFont="1" applyFill="1" applyBorder="1" applyAlignment="1">
      <alignment horizontal="left" vertical="center" wrapText="1"/>
    </xf>
    <xf numFmtId="0" fontId="22" fillId="17" borderId="2" xfId="0" applyFont="1" applyFill="1" applyBorder="1" applyAlignment="1">
      <alignment horizontal="left" vertical="center" wrapText="1"/>
    </xf>
    <xf numFmtId="0" fontId="21" fillId="15" borderId="2" xfId="0" applyFont="1" applyFill="1" applyBorder="1" applyAlignment="1">
      <alignment horizontal="left" vertical="center" wrapText="1"/>
    </xf>
    <xf numFmtId="0" fontId="24" fillId="7" borderId="2" xfId="0" applyFont="1" applyFill="1" applyBorder="1" applyAlignment="1">
      <alignment horizontal="left" vertical="center" wrapText="1"/>
    </xf>
    <xf numFmtId="0" fontId="26" fillId="21" borderId="2" xfId="0" applyFont="1" applyFill="1" applyBorder="1" applyAlignment="1">
      <alignment horizontal="left" vertical="center" wrapText="1"/>
    </xf>
    <xf numFmtId="0" fontId="21" fillId="22" borderId="2" xfId="0" applyFont="1" applyFill="1" applyBorder="1" applyAlignment="1">
      <alignment horizontal="left" vertical="center" wrapText="1"/>
    </xf>
    <xf numFmtId="0" fontId="24" fillId="22" borderId="2" xfId="0" applyFont="1" applyFill="1" applyBorder="1" applyAlignment="1">
      <alignment horizontal="left" vertical="center" wrapText="1"/>
    </xf>
    <xf numFmtId="0" fontId="19" fillId="22" borderId="2" xfId="0" applyFont="1" applyFill="1" applyBorder="1" applyAlignment="1">
      <alignment horizontal="left" vertical="center" wrapText="1"/>
    </xf>
    <xf numFmtId="0" fontId="21" fillId="22" borderId="2" xfId="0" applyFont="1" applyFill="1" applyBorder="1" applyAlignment="1">
      <alignment horizontal="center" vertical="center"/>
    </xf>
    <xf numFmtId="0" fontId="25" fillId="22" borderId="2" xfId="0" applyFont="1" applyFill="1" applyBorder="1" applyAlignment="1">
      <alignment horizontal="left" vertical="center" wrapText="1"/>
    </xf>
    <xf numFmtId="0" fontId="27" fillId="22" borderId="2" xfId="0" applyFont="1" applyFill="1" applyBorder="1" applyAlignment="1">
      <alignment horizontal="left" vertical="center" wrapText="1"/>
    </xf>
    <xf numFmtId="0" fontId="21" fillId="23" borderId="2" xfId="0" applyFont="1" applyFill="1" applyBorder="1" applyAlignment="1">
      <alignment horizontal="left" vertical="center" wrapText="1"/>
    </xf>
    <xf numFmtId="0" fontId="24" fillId="23" borderId="2" xfId="0" applyFont="1" applyFill="1" applyBorder="1" applyAlignment="1">
      <alignment horizontal="left" vertical="center" wrapText="1"/>
    </xf>
    <xf numFmtId="0" fontId="19" fillId="23" borderId="2" xfId="0" applyFont="1" applyFill="1" applyBorder="1" applyAlignment="1">
      <alignment horizontal="left" vertical="center" wrapText="1"/>
    </xf>
    <xf numFmtId="0" fontId="21" fillId="23" borderId="2" xfId="0" applyFont="1" applyFill="1" applyBorder="1" applyAlignment="1">
      <alignment horizontal="center" vertical="center"/>
    </xf>
    <xf numFmtId="0" fontId="21" fillId="24" borderId="2" xfId="0" applyFont="1" applyFill="1" applyBorder="1" applyAlignment="1">
      <alignment horizontal="left" vertical="center" wrapText="1"/>
    </xf>
    <xf numFmtId="0" fontId="19" fillId="24" borderId="2" xfId="0" applyFont="1" applyFill="1" applyBorder="1" applyAlignment="1">
      <alignment horizontal="left" vertical="center" wrapText="1"/>
    </xf>
    <xf numFmtId="0" fontId="21" fillId="24" borderId="2" xfId="0" applyFont="1" applyFill="1" applyBorder="1" applyAlignment="1">
      <alignment horizontal="center" vertical="center"/>
    </xf>
    <xf numFmtId="0" fontId="22" fillId="24" borderId="2" xfId="0" applyFont="1" applyFill="1" applyBorder="1" applyAlignment="1">
      <alignment horizontal="left" vertical="center" wrapText="1"/>
    </xf>
    <xf numFmtId="0" fontId="23" fillId="23" borderId="2" xfId="0" applyFont="1" applyFill="1" applyBorder="1" applyAlignment="1">
      <alignment horizontal="left" vertical="center" wrapText="1"/>
    </xf>
    <xf numFmtId="0" fontId="23" fillId="24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left" vertical="center" wrapText="1"/>
    </xf>
    <xf numFmtId="0" fontId="21" fillId="15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1" fillId="23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vertical="top" wrapText="1"/>
    </xf>
    <xf numFmtId="0" fontId="9" fillId="9" borderId="2" xfId="0" applyFont="1" applyFill="1" applyBorder="1" applyAlignment="1">
      <alignment vertical="top" wrapText="1"/>
    </xf>
    <xf numFmtId="0" fontId="7" fillId="14" borderId="2" xfId="0" applyFont="1" applyFill="1" applyBorder="1" applyAlignment="1">
      <alignment vertical="top" wrapText="1"/>
    </xf>
    <xf numFmtId="0" fontId="7" fillId="15" borderId="2" xfId="0" applyFont="1" applyFill="1" applyBorder="1" applyAlignment="1">
      <alignment vertical="top" wrapText="1"/>
    </xf>
    <xf numFmtId="0" fontId="7" fillId="23" borderId="2" xfId="0" applyFont="1" applyFill="1" applyBorder="1" applyAlignment="1">
      <alignment vertical="top" wrapText="1"/>
    </xf>
    <xf numFmtId="0" fontId="21" fillId="24" borderId="2" xfId="0" applyFont="1" applyFill="1" applyBorder="1" applyAlignment="1">
      <alignment vertical="top" wrapText="1"/>
    </xf>
    <xf numFmtId="0" fontId="7" fillId="15" borderId="3" xfId="0" applyFont="1" applyFill="1" applyBorder="1" applyAlignment="1">
      <alignment vertical="top" wrapText="1"/>
    </xf>
    <xf numFmtId="0" fontId="7" fillId="14" borderId="3" xfId="0" applyFont="1" applyFill="1" applyBorder="1" applyAlignment="1">
      <alignment vertical="top" wrapText="1"/>
    </xf>
    <xf numFmtId="0" fontId="7" fillId="11" borderId="2" xfId="0" applyFont="1" applyFill="1" applyBorder="1" applyAlignment="1">
      <alignment vertical="top" wrapText="1"/>
    </xf>
    <xf numFmtId="0" fontId="7" fillId="16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6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9" fillId="1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1" fillId="12" borderId="0" xfId="0" applyFont="1" applyFill="1" applyAlignment="1">
      <alignment horizontal="left" vertical="center"/>
    </xf>
    <xf numFmtId="0" fontId="12" fillId="11" borderId="0" xfId="0" applyFont="1" applyFill="1" applyAlignment="1">
      <alignment horizontal="left" vertical="top" wrapText="1"/>
    </xf>
    <xf numFmtId="0" fontId="15" fillId="4" borderId="0" xfId="0" applyFont="1" applyFill="1" applyAlignment="1">
      <alignment horizontal="left" vertical="center"/>
    </xf>
    <xf numFmtId="0" fontId="12" fillId="16" borderId="0" xfId="0" applyFont="1" applyFill="1" applyAlignment="1">
      <alignment horizontal="left" vertical="center" wrapText="1"/>
    </xf>
    <xf numFmtId="0" fontId="11" fillId="10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7" fillId="24" borderId="2" xfId="0" applyFont="1" applyFill="1" applyBorder="1" applyAlignment="1">
      <alignment horizontal="left" vertical="center" wrapText="1"/>
    </xf>
    <xf numFmtId="0" fontId="9" fillId="17" borderId="2" xfId="0" applyFont="1" applyFill="1" applyBorder="1" applyAlignment="1">
      <alignment vertical="top" wrapText="1"/>
    </xf>
  </cellXfs>
  <cellStyles count="1">
    <cellStyle name="Normal" xfId="0" builtinId="0"/>
  </cellStyles>
  <dxfs count="14">
    <dxf>
      <font>
        <b/>
        <sz val="10"/>
        <color rgb="FFC8860A"/>
        <name val="Arial"/>
      </font>
      <fill>
        <patternFill patternType="solid">
          <fgColor rgb="FFFFF8DC"/>
        </patternFill>
      </fill>
    </dxf>
    <dxf>
      <font>
        <b/>
        <sz val="10"/>
        <color rgb="FFC0392B"/>
        <name val="Arial"/>
      </font>
      <fill>
        <patternFill patternType="solid">
          <fgColor rgb="FFFFAAAA"/>
        </patternFill>
      </fill>
    </dxf>
    <dxf>
      <font>
        <b/>
        <sz val="10"/>
        <color rgb="FFC0392B"/>
        <name val="Arial"/>
      </font>
      <fill>
        <patternFill patternType="solid">
          <fgColor rgb="FFFFDDDD"/>
        </patternFill>
      </fill>
    </dxf>
    <dxf>
      <font>
        <b/>
        <sz val="10"/>
        <color rgb="FFC0392B"/>
        <name val="Arial"/>
      </font>
      <fill>
        <patternFill patternType="solid">
          <fgColor rgb="FFFFDDDD"/>
        </patternFill>
      </fill>
    </dxf>
    <dxf>
      <font>
        <b/>
        <sz val="10"/>
        <color rgb="FF1A6B3A"/>
        <name val="Arial"/>
      </font>
      <fill>
        <patternFill patternType="solid">
          <fgColor rgb="FFE8F5E9"/>
        </patternFill>
      </fill>
    </dxf>
    <dxf>
      <font>
        <b/>
        <sz val="10"/>
        <color rgb="FFC0392B"/>
        <name val="Arial"/>
      </font>
      <fill>
        <patternFill patternType="solid">
          <fgColor rgb="FFFFDDDD"/>
        </patternFill>
      </fill>
    </dxf>
    <dxf>
      <font>
        <b/>
        <sz val="10"/>
        <color rgb="FF1A6B3A"/>
        <name val="Arial"/>
      </font>
      <fill>
        <patternFill patternType="solid">
          <fgColor rgb="FFDDFFDD"/>
        </patternFill>
      </fill>
    </dxf>
    <dxf>
      <font>
        <b/>
        <sz val="10"/>
        <color rgb="FFC8860A"/>
        <name val="Arial"/>
      </font>
      <fill>
        <patternFill patternType="solid">
          <fgColor rgb="FFFFF0E0"/>
        </patternFill>
      </fill>
    </dxf>
    <dxf>
      <font>
        <b/>
        <sz val="10"/>
        <color rgb="FFC0392B"/>
        <name val="Arial"/>
      </font>
      <fill>
        <patternFill patternType="solid">
          <fgColor rgb="FFFFDDDD"/>
        </patternFill>
      </fill>
    </dxf>
    <dxf>
      <fill>
        <patternFill patternType="solid">
          <fgColor rgb="FFFDEBD0"/>
        </patternFill>
      </fill>
    </dxf>
    <dxf>
      <fill>
        <patternFill patternType="solid">
          <fgColor rgb="FFE8EFF8"/>
        </patternFill>
      </fill>
    </dxf>
    <dxf>
      <font>
        <b/>
        <sz val="10"/>
        <color rgb="FFC0392B"/>
        <name val="Arial"/>
      </font>
      <fill>
        <patternFill patternType="solid">
          <fgColor rgb="FFFFDDDD"/>
        </patternFill>
      </fill>
    </dxf>
    <dxf>
      <font>
        <b/>
        <sz val="10"/>
        <color rgb="FFC0392B"/>
        <name val="Arial"/>
      </font>
      <fill>
        <patternFill patternType="solid">
          <fgColor rgb="FFFFDDDD"/>
        </patternFill>
      </fill>
    </dxf>
    <dxf>
      <font>
        <b/>
        <sz val="10"/>
        <color rgb="FFC0392B"/>
        <name val="Arial"/>
      </font>
      <fill>
        <patternFill patternType="solid">
          <fgColor rgb="FFFFDD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B4A"/>
  </sheetPr>
  <dimension ref="A1:P35"/>
  <sheetViews>
    <sheetView showGridLines="0" workbookViewId="0">
      <pane ySplit="3" topLeftCell="A4" activePane="bottomLeft" state="frozen"/>
      <selection pane="bottomLeft" activeCell="G28" sqref="G28"/>
    </sheetView>
  </sheetViews>
  <sheetFormatPr defaultRowHeight="15" x14ac:dyDescent="0.25"/>
  <cols>
    <col min="1" max="1" width="5" customWidth="1"/>
    <col min="2" max="3" width="14" customWidth="1"/>
    <col min="4" max="4" width="28" customWidth="1"/>
    <col min="5" max="6" width="18" customWidth="1"/>
    <col min="7" max="8" width="12" customWidth="1"/>
    <col min="9" max="9" width="16" customWidth="1"/>
    <col min="10" max="10" width="32" customWidth="1"/>
  </cols>
  <sheetData>
    <row r="1" spans="1:16" ht="32.1" customHeight="1" x14ac:dyDescent="0.25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20.100000000000001" customHeight="1" x14ac:dyDescent="0.25">
      <c r="A2" s="76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8.1" customHeight="1" x14ac:dyDescent="0.25"/>
    <row r="4" spans="1:16" ht="24" customHeight="1" x14ac:dyDescent="0.25">
      <c r="A4" s="78" t="s">
        <v>2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21.95" customHeight="1" x14ac:dyDescent="0.25">
      <c r="A5" s="73" t="s">
        <v>3</v>
      </c>
      <c r="B5" s="71"/>
      <c r="D5" s="75" t="s">
        <v>4</v>
      </c>
      <c r="E5" s="71"/>
      <c r="G5" s="74" t="s">
        <v>5</v>
      </c>
      <c r="H5" s="71"/>
      <c r="J5" s="80" t="s">
        <v>6</v>
      </c>
      <c r="K5" s="71"/>
      <c r="M5" s="74" t="s">
        <v>7</v>
      </c>
      <c r="N5" s="71"/>
    </row>
    <row r="6" spans="1:16" ht="21.95" customHeight="1" x14ac:dyDescent="0.25">
      <c r="A6" s="79">
        <v>20</v>
      </c>
      <c r="B6" s="71"/>
      <c r="D6" s="81">
        <v>5</v>
      </c>
      <c r="E6" s="71"/>
      <c r="G6" s="77">
        <v>2</v>
      </c>
      <c r="H6" s="71"/>
      <c r="J6" s="83">
        <v>11</v>
      </c>
      <c r="K6" s="71"/>
      <c r="M6" s="77">
        <v>0</v>
      </c>
      <c r="N6" s="71"/>
    </row>
    <row r="7" spans="1:16" ht="21.95" customHeight="1" x14ac:dyDescent="0.25">
      <c r="A7" s="72" t="s">
        <v>8</v>
      </c>
      <c r="B7" s="71"/>
      <c r="D7" s="72" t="s">
        <v>9</v>
      </c>
      <c r="E7" s="71"/>
      <c r="G7" s="72" t="s">
        <v>10</v>
      </c>
      <c r="H7" s="71"/>
      <c r="J7" s="72" t="s">
        <v>11</v>
      </c>
      <c r="K7" s="71"/>
      <c r="M7" s="72" t="s">
        <v>12</v>
      </c>
      <c r="N7" s="71"/>
    </row>
    <row r="9" spans="1:16" ht="8.1" customHeight="1" x14ac:dyDescent="0.25"/>
    <row r="10" spans="1:16" ht="24" customHeight="1" x14ac:dyDescent="0.25">
      <c r="A10" s="82" t="s">
        <v>13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</row>
    <row r="11" spans="1:16" ht="21.95" customHeight="1" x14ac:dyDescent="0.25">
      <c r="A11" s="75" t="s">
        <v>14</v>
      </c>
      <c r="B11" s="71"/>
      <c r="D11" s="75" t="s">
        <v>15</v>
      </c>
      <c r="E11" s="71"/>
      <c r="G11" s="88" t="s">
        <v>16</v>
      </c>
      <c r="H11" s="71"/>
      <c r="J11" s="74" t="s">
        <v>17</v>
      </c>
      <c r="K11" s="71"/>
      <c r="M11" s="80" t="s">
        <v>18</v>
      </c>
      <c r="N11" s="71"/>
    </row>
    <row r="12" spans="1:16" ht="21.95" customHeight="1" x14ac:dyDescent="0.25">
      <c r="A12" s="81" t="s">
        <v>19</v>
      </c>
      <c r="B12" s="71"/>
      <c r="D12" s="81" t="s">
        <v>19</v>
      </c>
      <c r="E12" s="71"/>
      <c r="G12" s="87" t="s">
        <v>20</v>
      </c>
      <c r="H12" s="71"/>
      <c r="J12" s="77" t="s">
        <v>21</v>
      </c>
      <c r="K12" s="71"/>
      <c r="M12" s="83">
        <v>0</v>
      </c>
      <c r="N12" s="71"/>
    </row>
    <row r="13" spans="1:16" ht="21.95" customHeight="1" x14ac:dyDescent="0.25">
      <c r="A13" s="72" t="s">
        <v>22</v>
      </c>
      <c r="B13" s="71"/>
      <c r="D13" s="72" t="s">
        <v>23</v>
      </c>
      <c r="E13" s="71"/>
      <c r="G13" s="72" t="s">
        <v>24</v>
      </c>
      <c r="H13" s="71"/>
      <c r="J13" s="72" t="s">
        <v>25</v>
      </c>
      <c r="K13" s="71"/>
      <c r="M13" s="72" t="s">
        <v>26</v>
      </c>
      <c r="N13" s="71"/>
    </row>
    <row r="15" spans="1:16" ht="8.1" customHeight="1" x14ac:dyDescent="0.25"/>
    <row r="16" spans="1:16" ht="24" customHeight="1" x14ac:dyDescent="0.25">
      <c r="A16" s="85" t="s">
        <v>27</v>
      </c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</row>
    <row r="17" spans="1:16" ht="21.95" customHeight="1" x14ac:dyDescent="0.25">
      <c r="A17" s="84" t="s">
        <v>28</v>
      </c>
      <c r="B17" s="71"/>
      <c r="D17" s="88" t="s">
        <v>29</v>
      </c>
      <c r="E17" s="71"/>
      <c r="G17" s="80" t="s">
        <v>30</v>
      </c>
      <c r="H17" s="71"/>
      <c r="J17" s="75" t="s">
        <v>31</v>
      </c>
      <c r="K17" s="71"/>
      <c r="M17" s="73" t="s">
        <v>32</v>
      </c>
      <c r="N17" s="71"/>
    </row>
    <row r="18" spans="1:16" ht="21.95" customHeight="1" x14ac:dyDescent="0.25">
      <c r="A18" s="79">
        <v>31</v>
      </c>
      <c r="B18" s="71"/>
      <c r="D18" s="87">
        <v>23</v>
      </c>
      <c r="E18" s="71"/>
      <c r="G18" s="83">
        <v>7</v>
      </c>
      <c r="H18" s="71"/>
      <c r="J18" s="81">
        <v>12</v>
      </c>
      <c r="K18" s="71"/>
      <c r="M18" s="79">
        <v>18</v>
      </c>
      <c r="N18" s="71"/>
    </row>
    <row r="19" spans="1:16" ht="21.95" customHeight="1" x14ac:dyDescent="0.25">
      <c r="A19" s="72" t="s">
        <v>33</v>
      </c>
      <c r="B19" s="71"/>
      <c r="D19" s="72" t="s">
        <v>19</v>
      </c>
      <c r="E19" s="71"/>
      <c r="G19" s="72" t="s">
        <v>34</v>
      </c>
      <c r="H19" s="71"/>
      <c r="J19" s="72" t="s">
        <v>35</v>
      </c>
      <c r="K19" s="71"/>
      <c r="M19" s="72" t="s">
        <v>36</v>
      </c>
      <c r="N19" s="71"/>
    </row>
    <row r="21" spans="1:16" ht="8.1" customHeight="1" x14ac:dyDescent="0.25"/>
    <row r="22" spans="1:16" ht="24" customHeight="1" x14ac:dyDescent="0.25">
      <c r="A22" s="86" t="s">
        <v>37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</row>
    <row r="23" spans="1:16" ht="26.1" customHeight="1" x14ac:dyDescent="0.25">
      <c r="A23" s="1" t="s">
        <v>38</v>
      </c>
      <c r="B23" s="1" t="s">
        <v>39</v>
      </c>
      <c r="C23" s="1" t="s">
        <v>40</v>
      </c>
      <c r="D23" s="1" t="s">
        <v>41</v>
      </c>
      <c r="E23" s="1" t="s">
        <v>42</v>
      </c>
      <c r="F23" s="1" t="s">
        <v>43</v>
      </c>
      <c r="G23" s="1" t="s">
        <v>44</v>
      </c>
      <c r="H23" s="1" t="s">
        <v>45</v>
      </c>
      <c r="I23" s="1" t="s">
        <v>46</v>
      </c>
      <c r="J23" s="1" t="s">
        <v>47</v>
      </c>
    </row>
    <row r="24" spans="1:16" ht="25.5" customHeight="1" x14ac:dyDescent="0.25">
      <c r="A24" s="60">
        <v>1</v>
      </c>
      <c r="B24" s="60" t="s">
        <v>48</v>
      </c>
      <c r="C24" s="60" t="s">
        <v>49</v>
      </c>
      <c r="D24" s="60" t="s">
        <v>50</v>
      </c>
      <c r="E24" s="60" t="s">
        <v>51</v>
      </c>
      <c r="F24" s="60" t="s">
        <v>52</v>
      </c>
      <c r="G24" s="61" t="s">
        <v>53</v>
      </c>
      <c r="H24" s="60"/>
      <c r="I24" s="60" t="s">
        <v>54</v>
      </c>
      <c r="J24" s="60" t="s">
        <v>55</v>
      </c>
    </row>
    <row r="25" spans="1:16" ht="25.5" customHeight="1" x14ac:dyDescent="0.25">
      <c r="A25" s="60">
        <v>2</v>
      </c>
      <c r="B25" s="60" t="s">
        <v>48</v>
      </c>
      <c r="C25" s="60" t="s">
        <v>56</v>
      </c>
      <c r="D25" s="60" t="s">
        <v>57</v>
      </c>
      <c r="E25" s="60" t="s">
        <v>58</v>
      </c>
      <c r="F25" s="60" t="s">
        <v>52</v>
      </c>
      <c r="G25" s="61" t="s">
        <v>53</v>
      </c>
      <c r="H25" s="60" t="s">
        <v>59</v>
      </c>
      <c r="I25" s="60" t="s">
        <v>60</v>
      </c>
      <c r="J25" s="60" t="s">
        <v>61</v>
      </c>
    </row>
    <row r="26" spans="1:16" ht="25.5" customHeight="1" x14ac:dyDescent="0.25">
      <c r="A26" s="62">
        <v>3</v>
      </c>
      <c r="B26" s="62" t="s">
        <v>62</v>
      </c>
      <c r="C26" s="62" t="s">
        <v>63</v>
      </c>
      <c r="D26" s="62" t="s">
        <v>64</v>
      </c>
      <c r="E26" s="62" t="s">
        <v>65</v>
      </c>
      <c r="F26" s="62" t="s">
        <v>66</v>
      </c>
      <c r="G26" s="62" t="s">
        <v>53</v>
      </c>
      <c r="H26" s="62" t="s">
        <v>67</v>
      </c>
      <c r="I26" s="62" t="s">
        <v>68</v>
      </c>
      <c r="J26" s="62" t="s">
        <v>69</v>
      </c>
    </row>
    <row r="27" spans="1:16" ht="25.5" customHeight="1" x14ac:dyDescent="0.25">
      <c r="A27" s="63">
        <v>4</v>
      </c>
      <c r="B27" s="63" t="s">
        <v>70</v>
      </c>
      <c r="C27" s="63" t="s">
        <v>71</v>
      </c>
      <c r="D27" s="63" t="s">
        <v>72</v>
      </c>
      <c r="E27" s="63" t="s">
        <v>65</v>
      </c>
      <c r="F27" s="63" t="s">
        <v>66</v>
      </c>
      <c r="G27" s="63" t="s">
        <v>73</v>
      </c>
      <c r="H27" s="63" t="s">
        <v>67</v>
      </c>
      <c r="I27" s="63" t="s">
        <v>54</v>
      </c>
      <c r="J27" s="63" t="s">
        <v>74</v>
      </c>
    </row>
    <row r="28" spans="1:16" ht="25.5" customHeight="1" x14ac:dyDescent="0.25">
      <c r="A28" s="62">
        <v>5</v>
      </c>
      <c r="B28" s="62" t="s">
        <v>75</v>
      </c>
      <c r="C28" s="62" t="s">
        <v>76</v>
      </c>
      <c r="D28" s="62" t="s">
        <v>77</v>
      </c>
      <c r="E28" s="62" t="s">
        <v>65</v>
      </c>
      <c r="F28" s="62" t="s">
        <v>66</v>
      </c>
      <c r="G28" s="62" t="s">
        <v>73</v>
      </c>
      <c r="H28" s="62" t="s">
        <v>59</v>
      </c>
      <c r="I28" s="62" t="s">
        <v>60</v>
      </c>
      <c r="J28" s="62" t="s">
        <v>78</v>
      </c>
    </row>
    <row r="29" spans="1:16" ht="38.25" x14ac:dyDescent="0.25">
      <c r="A29" s="63">
        <v>6</v>
      </c>
      <c r="B29" s="63" t="s">
        <v>79</v>
      </c>
      <c r="C29" s="63" t="s">
        <v>80</v>
      </c>
      <c r="D29" s="63" t="s">
        <v>81</v>
      </c>
      <c r="E29" s="63" t="s">
        <v>65</v>
      </c>
      <c r="F29" s="63" t="s">
        <v>52</v>
      </c>
      <c r="G29" s="63" t="s">
        <v>73</v>
      </c>
      <c r="H29" s="63"/>
      <c r="I29" s="63" t="s">
        <v>54</v>
      </c>
      <c r="J29" s="63" t="s">
        <v>82</v>
      </c>
    </row>
    <row r="30" spans="1:16" ht="38.25" x14ac:dyDescent="0.25">
      <c r="A30" s="62">
        <v>7</v>
      </c>
      <c r="B30" s="62" t="s">
        <v>79</v>
      </c>
      <c r="C30" s="62" t="s">
        <v>83</v>
      </c>
      <c r="D30" s="62" t="s">
        <v>84</v>
      </c>
      <c r="E30" s="62" t="s">
        <v>65</v>
      </c>
      <c r="F30" s="62" t="s">
        <v>66</v>
      </c>
      <c r="G30" s="62" t="s">
        <v>73</v>
      </c>
      <c r="H30" s="62"/>
      <c r="I30" s="62" t="s">
        <v>54</v>
      </c>
      <c r="J30" s="62" t="s">
        <v>85</v>
      </c>
    </row>
    <row r="31" spans="1:16" ht="38.25" x14ac:dyDescent="0.25">
      <c r="A31" s="63">
        <v>8</v>
      </c>
      <c r="B31" s="63" t="s">
        <v>86</v>
      </c>
      <c r="C31" s="63" t="s">
        <v>87</v>
      </c>
      <c r="D31" s="63" t="s">
        <v>88</v>
      </c>
      <c r="E31" s="63" t="s">
        <v>65</v>
      </c>
      <c r="F31" s="63" t="s">
        <v>89</v>
      </c>
      <c r="G31" s="63" t="s">
        <v>73</v>
      </c>
      <c r="H31" s="63"/>
      <c r="I31" s="63" t="s">
        <v>54</v>
      </c>
      <c r="J31" s="63" t="s">
        <v>90</v>
      </c>
    </row>
    <row r="32" spans="1:16" ht="25.5" x14ac:dyDescent="0.25">
      <c r="A32" s="62">
        <v>9</v>
      </c>
      <c r="B32" s="62" t="s">
        <v>86</v>
      </c>
      <c r="C32" s="62" t="s">
        <v>91</v>
      </c>
      <c r="D32" s="62" t="s">
        <v>92</v>
      </c>
      <c r="E32" s="62"/>
      <c r="F32" s="62"/>
      <c r="G32" s="62" t="s">
        <v>73</v>
      </c>
      <c r="H32" s="62"/>
      <c r="I32" s="62" t="s">
        <v>54</v>
      </c>
      <c r="J32" s="62" t="s">
        <v>93</v>
      </c>
    </row>
    <row r="33" spans="1:10" ht="38.25" x14ac:dyDescent="0.25">
      <c r="A33" s="63">
        <v>10</v>
      </c>
      <c r="B33" s="63" t="s">
        <v>94</v>
      </c>
      <c r="C33" s="63" t="s">
        <v>95</v>
      </c>
      <c r="D33" s="63" t="s">
        <v>96</v>
      </c>
      <c r="E33" s="63" t="s">
        <v>65</v>
      </c>
      <c r="F33" s="63" t="s">
        <v>66</v>
      </c>
      <c r="G33" s="63" t="s">
        <v>73</v>
      </c>
      <c r="H33" s="63"/>
      <c r="I33" s="63" t="s">
        <v>54</v>
      </c>
      <c r="J33" s="63" t="s">
        <v>97</v>
      </c>
    </row>
    <row r="34" spans="1:10" ht="38.25" x14ac:dyDescent="0.25">
      <c r="A34" s="62">
        <v>11</v>
      </c>
      <c r="B34" s="62" t="s">
        <v>98</v>
      </c>
      <c r="C34" s="62" t="s">
        <v>99</v>
      </c>
      <c r="D34" s="62" t="s">
        <v>100</v>
      </c>
      <c r="E34" s="62"/>
      <c r="F34" s="62" t="s">
        <v>101</v>
      </c>
      <c r="G34" s="62" t="s">
        <v>102</v>
      </c>
      <c r="H34" s="62"/>
      <c r="I34" s="62" t="s">
        <v>103</v>
      </c>
      <c r="J34" s="62" t="s">
        <v>104</v>
      </c>
    </row>
    <row r="35" spans="1:10" ht="21.95" customHeight="1" x14ac:dyDescent="0.25">
      <c r="A35" s="63">
        <v>12</v>
      </c>
      <c r="B35" s="63" t="s">
        <v>105</v>
      </c>
      <c r="C35" s="63" t="s">
        <v>106</v>
      </c>
      <c r="D35" s="63" t="s">
        <v>107</v>
      </c>
      <c r="E35" s="63"/>
      <c r="F35" s="63" t="s">
        <v>108</v>
      </c>
      <c r="G35" s="63" t="s">
        <v>102</v>
      </c>
      <c r="H35" s="63"/>
      <c r="I35" s="63" t="s">
        <v>54</v>
      </c>
      <c r="J35" s="63" t="s">
        <v>109</v>
      </c>
    </row>
  </sheetData>
  <mergeCells count="51">
    <mergeCell ref="G19:H19"/>
    <mergeCell ref="G12:H12"/>
    <mergeCell ref="G13:H13"/>
    <mergeCell ref="A18:B18"/>
    <mergeCell ref="G18:H18"/>
    <mergeCell ref="D17:E17"/>
    <mergeCell ref="D11:E11"/>
    <mergeCell ref="D19:E19"/>
    <mergeCell ref="J11:K11"/>
    <mergeCell ref="D7:E7"/>
    <mergeCell ref="A22:P22"/>
    <mergeCell ref="J19:K19"/>
    <mergeCell ref="M19:N19"/>
    <mergeCell ref="M18:N18"/>
    <mergeCell ref="D18:E18"/>
    <mergeCell ref="M17:N17"/>
    <mergeCell ref="J12:K12"/>
    <mergeCell ref="J18:K18"/>
    <mergeCell ref="A13:B13"/>
    <mergeCell ref="M12:N12"/>
    <mergeCell ref="M13:N13"/>
    <mergeCell ref="A12:B12"/>
    <mergeCell ref="A19:B19"/>
    <mergeCell ref="J13:K13"/>
    <mergeCell ref="A6:B6"/>
    <mergeCell ref="G17:H17"/>
    <mergeCell ref="D6:E6"/>
    <mergeCell ref="A10:P10"/>
    <mergeCell ref="A7:B7"/>
    <mergeCell ref="G7:H7"/>
    <mergeCell ref="J6:K6"/>
    <mergeCell ref="M11:N11"/>
    <mergeCell ref="D13:E13"/>
    <mergeCell ref="J17:K17"/>
    <mergeCell ref="A17:B17"/>
    <mergeCell ref="A16:P16"/>
    <mergeCell ref="D12:E12"/>
    <mergeCell ref="A11:B11"/>
    <mergeCell ref="G11:H11"/>
    <mergeCell ref="A1:P1"/>
    <mergeCell ref="J7:K7"/>
    <mergeCell ref="A5:B5"/>
    <mergeCell ref="G5:H5"/>
    <mergeCell ref="D5:E5"/>
    <mergeCell ref="M7:N7"/>
    <mergeCell ref="A2:P2"/>
    <mergeCell ref="M6:N6"/>
    <mergeCell ref="A4:P4"/>
    <mergeCell ref="M5:N5"/>
    <mergeCell ref="J5:K5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6B6B"/>
    <pageSetUpPr fitToPage="1"/>
  </sheetPr>
  <dimension ref="A1:T41"/>
  <sheetViews>
    <sheetView showGridLines="0" tabSelected="1" zoomScale="85" zoomScaleNormal="85" workbookViewId="0">
      <pane xSplit="4" ySplit="5" topLeftCell="E6" activePane="bottomRight" state="frozen"/>
      <selection pane="topRight"/>
      <selection pane="bottomLeft"/>
      <selection pane="bottomRight" activeCell="N29" sqref="N29"/>
    </sheetView>
  </sheetViews>
  <sheetFormatPr defaultRowHeight="15" x14ac:dyDescent="0.25"/>
  <cols>
    <col min="1" max="1" width="14" customWidth="1"/>
    <col min="2" max="2" width="24.5703125" customWidth="1"/>
    <col min="3" max="3" width="14.28515625" customWidth="1"/>
    <col min="4" max="4" width="13" customWidth="1"/>
    <col min="5" max="5" width="19.5703125" customWidth="1"/>
    <col min="6" max="6" width="30.7109375" customWidth="1"/>
    <col min="7" max="7" width="12.42578125" customWidth="1"/>
    <col min="8" max="8" width="16.7109375" bestFit="1" customWidth="1"/>
    <col min="9" max="9" width="11.28515625" bestFit="1" customWidth="1"/>
    <col min="10" max="10" width="15.5703125" style="58" bestFit="1" customWidth="1"/>
    <col min="11" max="11" width="10.5703125" customWidth="1"/>
    <col min="12" max="12" width="7" bestFit="1" customWidth="1"/>
    <col min="13" max="13" width="9" customWidth="1"/>
    <col min="14" max="15" width="79.42578125" customWidth="1"/>
    <col min="16" max="16" width="8.140625" bestFit="1" customWidth="1"/>
    <col min="17" max="17" width="21.5703125" bestFit="1" customWidth="1"/>
    <col min="18" max="18" width="17" customWidth="1"/>
    <col min="19" max="19" width="12.7109375" bestFit="1" customWidth="1"/>
    <col min="20" max="20" width="15" bestFit="1" customWidth="1"/>
  </cols>
  <sheetData>
    <row r="1" spans="1:20" ht="27.95" customHeight="1" x14ac:dyDescent="0.25">
      <c r="A1" s="89" t="s">
        <v>110</v>
      </c>
      <c r="B1" s="71"/>
      <c r="C1" s="71"/>
      <c r="D1" s="71"/>
      <c r="E1" s="71"/>
      <c r="F1" s="71"/>
      <c r="G1" s="71"/>
      <c r="H1" s="71"/>
      <c r="I1" s="71"/>
      <c r="J1" s="90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1:20" ht="15.95" customHeight="1" x14ac:dyDescent="0.25">
      <c r="A2" s="92" t="s">
        <v>111</v>
      </c>
      <c r="B2" s="71"/>
      <c r="C2" s="71"/>
      <c r="D2" s="71"/>
      <c r="E2" s="71"/>
      <c r="F2" s="71"/>
      <c r="G2" s="71"/>
      <c r="H2" s="71"/>
      <c r="I2" s="71"/>
      <c r="J2" s="90"/>
      <c r="K2" s="71"/>
      <c r="L2" s="71"/>
      <c r="M2" s="71"/>
      <c r="N2" s="71"/>
      <c r="O2" s="71"/>
      <c r="P2" s="71"/>
      <c r="Q2" s="71"/>
      <c r="R2" s="71"/>
      <c r="S2" s="71"/>
      <c r="T2" s="71"/>
    </row>
    <row r="3" spans="1:20" ht="8.1" customHeight="1" x14ac:dyDescent="0.25"/>
    <row r="4" spans="1:20" ht="34.5" customHeight="1" x14ac:dyDescent="0.25">
      <c r="A4" s="91" t="s">
        <v>112</v>
      </c>
      <c r="B4" s="71"/>
      <c r="C4" s="71"/>
      <c r="D4" s="71"/>
      <c r="E4" s="71"/>
      <c r="F4" s="71"/>
      <c r="G4" s="71"/>
      <c r="H4" s="71"/>
      <c r="I4" s="71"/>
      <c r="J4" s="90"/>
      <c r="K4" s="71"/>
      <c r="L4" s="71"/>
      <c r="M4" s="71"/>
      <c r="N4" s="71"/>
      <c r="O4" s="71"/>
      <c r="P4" s="71"/>
      <c r="Q4" s="71"/>
      <c r="R4" s="71"/>
      <c r="S4" s="71"/>
      <c r="T4" s="71"/>
    </row>
    <row r="5" spans="1:20" ht="38.25" customHeight="1" x14ac:dyDescent="0.25">
      <c r="A5" s="34" t="s">
        <v>113</v>
      </c>
      <c r="B5" s="34" t="s">
        <v>114</v>
      </c>
      <c r="C5" s="34" t="s">
        <v>115</v>
      </c>
      <c r="D5" s="34" t="s">
        <v>116</v>
      </c>
      <c r="E5" s="34" t="s">
        <v>117</v>
      </c>
      <c r="F5" s="34" t="s">
        <v>118</v>
      </c>
      <c r="G5" s="34" t="s">
        <v>119</v>
      </c>
      <c r="H5" s="34" t="s">
        <v>46</v>
      </c>
      <c r="I5" s="34" t="s">
        <v>120</v>
      </c>
      <c r="J5" s="34" t="s">
        <v>121</v>
      </c>
      <c r="K5" s="34" t="s">
        <v>122</v>
      </c>
      <c r="L5" s="34" t="s">
        <v>123</v>
      </c>
      <c r="M5" s="34" t="s">
        <v>124</v>
      </c>
      <c r="N5" s="34" t="s">
        <v>125</v>
      </c>
      <c r="O5" s="1" t="s">
        <v>126</v>
      </c>
      <c r="P5" s="34" t="s">
        <v>127</v>
      </c>
      <c r="Q5" s="34" t="s">
        <v>128</v>
      </c>
      <c r="R5" s="34" t="s">
        <v>129</v>
      </c>
      <c r="S5" s="34" t="s">
        <v>130</v>
      </c>
      <c r="T5" s="34" t="s">
        <v>131</v>
      </c>
    </row>
    <row r="6" spans="1:20" ht="20.25" customHeight="1" x14ac:dyDescent="0.25">
      <c r="A6" s="35" t="s">
        <v>132</v>
      </c>
      <c r="B6" s="35" t="s">
        <v>133</v>
      </c>
      <c r="C6" s="35" t="s">
        <v>134</v>
      </c>
      <c r="D6" s="35" t="s">
        <v>135</v>
      </c>
      <c r="E6" s="39" t="s">
        <v>52</v>
      </c>
      <c r="F6" s="35" t="s">
        <v>151</v>
      </c>
      <c r="G6" s="56" t="s">
        <v>815</v>
      </c>
      <c r="H6" s="54" t="s">
        <v>136</v>
      </c>
      <c r="I6" s="48" t="s">
        <v>137</v>
      </c>
      <c r="J6" s="49" t="str">
        <f t="shared" ref="J6:J30" si="0">IF(AND(ISNUMBER(SEARCH("Thilafushi",E6)),OR(H6="Operational",H6="Standby")),"✓ Yes","✗ No")</f>
        <v>✗ No</v>
      </c>
      <c r="K6" s="46"/>
      <c r="L6" s="46"/>
      <c r="M6" s="35"/>
      <c r="N6" s="35"/>
      <c r="O6" s="35"/>
      <c r="P6" s="35" t="s">
        <v>138</v>
      </c>
      <c r="Q6" s="35"/>
      <c r="R6" s="35"/>
      <c r="S6" s="35"/>
      <c r="T6" s="35"/>
    </row>
    <row r="7" spans="1:20" x14ac:dyDescent="0.25">
      <c r="A7" s="37" t="s">
        <v>139</v>
      </c>
      <c r="B7" s="37" t="s">
        <v>133</v>
      </c>
      <c r="C7" s="37" t="s">
        <v>134</v>
      </c>
      <c r="D7" s="37" t="s">
        <v>135</v>
      </c>
      <c r="E7" s="38" t="s">
        <v>140</v>
      </c>
      <c r="F7" s="37"/>
      <c r="G7" s="50"/>
      <c r="H7" s="55" t="s">
        <v>136</v>
      </c>
      <c r="I7" s="51" t="s">
        <v>137</v>
      </c>
      <c r="J7" s="52" t="str">
        <f t="shared" si="0"/>
        <v>✗ No</v>
      </c>
      <c r="K7" s="50"/>
      <c r="L7" s="50"/>
      <c r="M7" s="50"/>
      <c r="N7" s="5" t="s">
        <v>814</v>
      </c>
      <c r="O7" s="5"/>
      <c r="P7" s="37" t="s">
        <v>138</v>
      </c>
      <c r="Q7" s="37"/>
      <c r="R7" s="37"/>
      <c r="S7" s="37"/>
      <c r="T7" s="37"/>
    </row>
    <row r="8" spans="1:20" x14ac:dyDescent="0.25">
      <c r="A8" s="35" t="s">
        <v>141</v>
      </c>
      <c r="B8" s="35" t="s">
        <v>142</v>
      </c>
      <c r="C8" s="35" t="s">
        <v>143</v>
      </c>
      <c r="D8" s="35" t="s">
        <v>144</v>
      </c>
      <c r="E8" s="38" t="s">
        <v>140</v>
      </c>
      <c r="F8" s="35"/>
      <c r="G8" s="46"/>
      <c r="H8" s="54" t="s">
        <v>136</v>
      </c>
      <c r="I8" s="48" t="s">
        <v>137</v>
      </c>
      <c r="J8" s="49" t="str">
        <f t="shared" si="0"/>
        <v>✗ No</v>
      </c>
      <c r="K8" s="46"/>
      <c r="L8" s="46"/>
      <c r="M8" s="46"/>
      <c r="N8" s="35"/>
      <c r="O8" s="35"/>
      <c r="P8" s="35" t="s">
        <v>138</v>
      </c>
      <c r="Q8" s="35"/>
      <c r="R8" s="35"/>
      <c r="S8" s="35"/>
      <c r="T8" s="35"/>
    </row>
    <row r="9" spans="1:20" x14ac:dyDescent="0.25">
      <c r="A9" s="37" t="s">
        <v>145</v>
      </c>
      <c r="B9" s="37" t="s">
        <v>142</v>
      </c>
      <c r="C9" s="37" t="s">
        <v>146</v>
      </c>
      <c r="D9" s="37" t="s">
        <v>144</v>
      </c>
      <c r="E9" s="38" t="s">
        <v>140</v>
      </c>
      <c r="F9" s="37"/>
      <c r="G9" s="50"/>
      <c r="H9" s="55" t="s">
        <v>136</v>
      </c>
      <c r="I9" s="51" t="s">
        <v>137</v>
      </c>
      <c r="J9" s="52" t="str">
        <f t="shared" si="0"/>
        <v>✗ No</v>
      </c>
      <c r="K9" s="50"/>
      <c r="L9" s="50"/>
      <c r="M9" s="50"/>
      <c r="N9" s="37"/>
      <c r="O9" s="37"/>
      <c r="P9" s="37" t="s">
        <v>138</v>
      </c>
      <c r="Q9" s="37"/>
      <c r="R9" s="37"/>
      <c r="S9" s="37"/>
      <c r="T9" s="37"/>
    </row>
    <row r="10" spans="1:20" ht="20.25" customHeight="1" x14ac:dyDescent="0.25">
      <c r="A10" s="35" t="s">
        <v>147</v>
      </c>
      <c r="B10" s="35" t="s">
        <v>148</v>
      </c>
      <c r="C10" s="35" t="s">
        <v>149</v>
      </c>
      <c r="D10" s="35" t="s">
        <v>150</v>
      </c>
      <c r="E10" s="39" t="s">
        <v>52</v>
      </c>
      <c r="F10" s="35" t="s">
        <v>151</v>
      </c>
      <c r="G10" s="56" t="s">
        <v>816</v>
      </c>
      <c r="H10" s="48" t="s">
        <v>152</v>
      </c>
      <c r="I10" s="48" t="s">
        <v>137</v>
      </c>
      <c r="J10" s="49" t="str">
        <f t="shared" si="0"/>
        <v>✗ No</v>
      </c>
      <c r="K10" s="46"/>
      <c r="L10" s="46"/>
      <c r="M10" s="46"/>
      <c r="N10" s="64" t="s">
        <v>154</v>
      </c>
      <c r="O10" s="56"/>
      <c r="P10" s="35" t="s">
        <v>138</v>
      </c>
      <c r="Q10" s="35"/>
      <c r="R10" s="35"/>
      <c r="S10" s="35" t="s">
        <v>155</v>
      </c>
      <c r="T10" s="35"/>
    </row>
    <row r="11" spans="1:20" ht="20.25" customHeight="1" x14ac:dyDescent="0.25">
      <c r="A11" s="37" t="s">
        <v>156</v>
      </c>
      <c r="B11" s="35" t="s">
        <v>157</v>
      </c>
      <c r="C11" s="35" t="s">
        <v>158</v>
      </c>
      <c r="D11" s="35" t="s">
        <v>159</v>
      </c>
      <c r="E11" s="39" t="s">
        <v>52</v>
      </c>
      <c r="F11" s="35" t="s">
        <v>151</v>
      </c>
      <c r="G11" s="56" t="s">
        <v>815</v>
      </c>
      <c r="H11" s="48" t="s">
        <v>152</v>
      </c>
      <c r="I11" s="48" t="s">
        <v>153</v>
      </c>
      <c r="J11" s="49" t="str">
        <f t="shared" si="0"/>
        <v>✗ No</v>
      </c>
      <c r="K11" s="46"/>
      <c r="L11" s="46"/>
      <c r="M11" s="46"/>
      <c r="N11" s="64" t="s">
        <v>822</v>
      </c>
      <c r="O11" s="56" t="s">
        <v>821</v>
      </c>
      <c r="P11" s="35" t="s">
        <v>138</v>
      </c>
      <c r="Q11" s="35"/>
      <c r="R11" s="35"/>
      <c r="S11" s="35" t="s">
        <v>155</v>
      </c>
      <c r="T11" s="35"/>
    </row>
    <row r="12" spans="1:20" ht="20.25" customHeight="1" x14ac:dyDescent="0.25">
      <c r="A12" s="35" t="s">
        <v>162</v>
      </c>
      <c r="B12" s="37" t="s">
        <v>148</v>
      </c>
      <c r="C12" s="37" t="s">
        <v>158</v>
      </c>
      <c r="D12" s="37" t="s">
        <v>159</v>
      </c>
      <c r="E12" s="36" t="s">
        <v>66</v>
      </c>
      <c r="F12" s="35" t="s">
        <v>163</v>
      </c>
      <c r="G12" s="102" t="s">
        <v>817</v>
      </c>
      <c r="H12" s="48" t="s">
        <v>152</v>
      </c>
      <c r="I12" s="48" t="s">
        <v>153</v>
      </c>
      <c r="J12" s="52" t="str">
        <f t="shared" si="0"/>
        <v>✗ No</v>
      </c>
      <c r="K12" s="50"/>
      <c r="L12" s="50"/>
      <c r="M12" s="50"/>
      <c r="N12" s="64"/>
      <c r="O12" s="56" t="s">
        <v>164</v>
      </c>
      <c r="P12" s="37" t="s">
        <v>138</v>
      </c>
      <c r="Q12" s="37"/>
      <c r="R12" s="37"/>
      <c r="S12" s="37" t="s">
        <v>155</v>
      </c>
      <c r="T12" s="37"/>
    </row>
    <row r="13" spans="1:20" ht="20.25" customHeight="1" x14ac:dyDescent="0.25">
      <c r="A13" s="35" t="s">
        <v>162</v>
      </c>
      <c r="B13" s="37" t="s">
        <v>157</v>
      </c>
      <c r="C13" s="37" t="s">
        <v>158</v>
      </c>
      <c r="D13" s="37" t="s">
        <v>159</v>
      </c>
      <c r="E13" s="36" t="s">
        <v>66</v>
      </c>
      <c r="F13" s="35" t="s">
        <v>163</v>
      </c>
      <c r="G13" s="102" t="s">
        <v>818</v>
      </c>
      <c r="H13" s="48" t="s">
        <v>152</v>
      </c>
      <c r="I13" s="48" t="s">
        <v>153</v>
      </c>
      <c r="J13" s="52" t="str">
        <f t="shared" si="0"/>
        <v>✗ No</v>
      </c>
      <c r="K13" s="50"/>
      <c r="L13" s="50"/>
      <c r="M13" s="50"/>
      <c r="N13" s="64" t="s">
        <v>165</v>
      </c>
      <c r="O13" s="56" t="s">
        <v>166</v>
      </c>
      <c r="P13" s="37" t="s">
        <v>138</v>
      </c>
      <c r="Q13" s="37"/>
      <c r="R13" s="37"/>
      <c r="S13" s="37" t="s">
        <v>155</v>
      </c>
      <c r="T13" s="37"/>
    </row>
    <row r="14" spans="1:20" ht="27.75" hidden="1" customHeight="1" x14ac:dyDescent="0.25">
      <c r="A14" s="37" t="s">
        <v>167</v>
      </c>
      <c r="B14" s="37" t="s">
        <v>148</v>
      </c>
      <c r="C14" s="35" t="s">
        <v>158</v>
      </c>
      <c r="D14" s="35" t="s">
        <v>159</v>
      </c>
      <c r="E14" s="103" t="s">
        <v>819</v>
      </c>
      <c r="F14" s="35"/>
      <c r="G14" s="46"/>
      <c r="H14" s="51" t="s">
        <v>89</v>
      </c>
      <c r="I14" s="53" t="s">
        <v>89</v>
      </c>
      <c r="J14" s="49" t="str">
        <f t="shared" si="0"/>
        <v>✗ No</v>
      </c>
      <c r="K14" s="46"/>
      <c r="L14" s="46"/>
      <c r="M14" s="46"/>
      <c r="N14" s="64" t="s">
        <v>168</v>
      </c>
      <c r="O14" s="56"/>
      <c r="P14" s="35" t="s">
        <v>138</v>
      </c>
      <c r="Q14" s="35"/>
      <c r="R14" s="35"/>
      <c r="S14" s="35" t="s">
        <v>155</v>
      </c>
      <c r="T14" s="35"/>
    </row>
    <row r="15" spans="1:20" hidden="1" x14ac:dyDescent="0.25">
      <c r="A15" s="35" t="s">
        <v>87</v>
      </c>
      <c r="B15" s="37" t="s">
        <v>157</v>
      </c>
      <c r="C15" s="35" t="s">
        <v>149</v>
      </c>
      <c r="D15" s="4" t="s">
        <v>175</v>
      </c>
      <c r="E15" s="103" t="s">
        <v>820</v>
      </c>
      <c r="F15" s="35"/>
      <c r="G15" s="50"/>
      <c r="H15" s="51" t="s">
        <v>89</v>
      </c>
      <c r="I15" s="53" t="s">
        <v>89</v>
      </c>
      <c r="J15" s="52" t="str">
        <f t="shared" si="0"/>
        <v>✗ No</v>
      </c>
      <c r="K15" s="50"/>
      <c r="L15" s="50"/>
      <c r="M15" s="50"/>
      <c r="N15" s="65" t="s">
        <v>169</v>
      </c>
      <c r="O15" s="50"/>
      <c r="P15" s="37" t="s">
        <v>138</v>
      </c>
      <c r="Q15" s="37"/>
      <c r="R15" s="37"/>
      <c r="S15" s="37" t="s">
        <v>155</v>
      </c>
      <c r="T15" s="37"/>
    </row>
    <row r="16" spans="1:20" x14ac:dyDescent="0.25">
      <c r="A16" s="37" t="s">
        <v>170</v>
      </c>
      <c r="B16" s="37" t="s">
        <v>171</v>
      </c>
      <c r="C16" s="37" t="s">
        <v>172</v>
      </c>
      <c r="D16" s="37" t="s">
        <v>173</v>
      </c>
      <c r="E16" s="38" t="s">
        <v>140</v>
      </c>
      <c r="F16" s="37"/>
      <c r="G16" s="50"/>
      <c r="H16" s="51" t="s">
        <v>152</v>
      </c>
      <c r="I16" s="51" t="s">
        <v>153</v>
      </c>
      <c r="J16" s="52" t="str">
        <f t="shared" si="0"/>
        <v>✓ Yes</v>
      </c>
      <c r="K16" s="50"/>
      <c r="L16" s="50"/>
      <c r="M16" s="50"/>
      <c r="N16" s="37"/>
      <c r="O16" s="37"/>
      <c r="P16" s="37" t="s">
        <v>138</v>
      </c>
      <c r="Q16" s="37"/>
      <c r="R16" s="37"/>
      <c r="S16" s="37"/>
      <c r="T16" s="37"/>
    </row>
    <row r="17" spans="1:20" x14ac:dyDescent="0.25">
      <c r="A17" s="35" t="s">
        <v>174</v>
      </c>
      <c r="B17" s="35" t="s">
        <v>157</v>
      </c>
      <c r="C17" s="35" t="s">
        <v>149</v>
      </c>
      <c r="D17" s="35" t="s">
        <v>175</v>
      </c>
      <c r="E17" s="39"/>
      <c r="F17" s="35"/>
      <c r="G17" s="46"/>
      <c r="H17" s="51" t="s">
        <v>89</v>
      </c>
      <c r="I17" s="53" t="s">
        <v>89</v>
      </c>
      <c r="J17" s="49" t="str">
        <f t="shared" si="0"/>
        <v>✗ No</v>
      </c>
      <c r="K17" s="46"/>
      <c r="L17" s="35"/>
      <c r="M17" s="35"/>
      <c r="N17" s="35"/>
      <c r="O17" s="35"/>
      <c r="P17" s="35" t="s">
        <v>138</v>
      </c>
      <c r="Q17" s="35"/>
      <c r="R17" s="35"/>
      <c r="S17" s="35"/>
      <c r="T17" s="35"/>
    </row>
    <row r="18" spans="1:20" x14ac:dyDescent="0.25">
      <c r="A18" s="37" t="s">
        <v>176</v>
      </c>
      <c r="B18" s="37" t="s">
        <v>157</v>
      </c>
      <c r="C18" s="37" t="s">
        <v>177</v>
      </c>
      <c r="D18" s="37" t="s">
        <v>178</v>
      </c>
      <c r="E18" s="38" t="s">
        <v>140</v>
      </c>
      <c r="F18" s="35"/>
      <c r="G18" s="50"/>
      <c r="H18" s="51" t="s">
        <v>152</v>
      </c>
      <c r="I18" s="51" t="s">
        <v>137</v>
      </c>
      <c r="J18" s="52" t="str">
        <f t="shared" si="0"/>
        <v>✓ Yes</v>
      </c>
      <c r="K18" s="50"/>
      <c r="L18" s="37"/>
      <c r="M18" s="37"/>
      <c r="N18" s="37"/>
      <c r="O18" s="37"/>
      <c r="P18" s="37" t="s">
        <v>138</v>
      </c>
      <c r="Q18" s="37"/>
      <c r="R18" s="37"/>
      <c r="S18" s="37"/>
      <c r="T18" s="37"/>
    </row>
    <row r="19" spans="1:20" x14ac:dyDescent="0.25">
      <c r="A19" s="35" t="s">
        <v>179</v>
      </c>
      <c r="B19" s="35" t="s">
        <v>180</v>
      </c>
      <c r="C19" s="35" t="s">
        <v>181</v>
      </c>
      <c r="D19" s="35" t="s">
        <v>182</v>
      </c>
      <c r="E19" s="38" t="s">
        <v>140</v>
      </c>
      <c r="F19" s="35"/>
      <c r="G19" s="46"/>
      <c r="H19" s="48" t="s">
        <v>152</v>
      </c>
      <c r="I19" s="48" t="s">
        <v>137</v>
      </c>
      <c r="J19" s="49" t="str">
        <f t="shared" si="0"/>
        <v>✓ Yes</v>
      </c>
      <c r="K19" s="46"/>
      <c r="L19" s="35"/>
      <c r="M19" s="35"/>
      <c r="N19" s="35"/>
      <c r="O19" s="35"/>
      <c r="P19" s="35" t="s">
        <v>138</v>
      </c>
      <c r="Q19" s="35"/>
      <c r="R19" s="35"/>
      <c r="S19" s="35"/>
      <c r="T19" s="35"/>
    </row>
    <row r="20" spans="1:20" x14ac:dyDescent="0.25">
      <c r="A20" s="37" t="s">
        <v>183</v>
      </c>
      <c r="B20" s="37" t="s">
        <v>184</v>
      </c>
      <c r="C20" s="37" t="s">
        <v>185</v>
      </c>
      <c r="D20" s="37" t="s">
        <v>186</v>
      </c>
      <c r="E20" s="38" t="s">
        <v>140</v>
      </c>
      <c r="F20" s="37"/>
      <c r="G20" s="50"/>
      <c r="H20" s="51" t="s">
        <v>152</v>
      </c>
      <c r="I20" s="51" t="s">
        <v>137</v>
      </c>
      <c r="J20" s="52" t="str">
        <f t="shared" si="0"/>
        <v>✓ Yes</v>
      </c>
      <c r="K20" s="50"/>
      <c r="L20" s="37"/>
      <c r="M20" s="37"/>
      <c r="N20" s="37"/>
      <c r="O20" s="37"/>
      <c r="P20" s="37" t="s">
        <v>138</v>
      </c>
      <c r="Q20" s="37"/>
      <c r="R20" s="37"/>
      <c r="S20" s="37"/>
      <c r="T20" s="37"/>
    </row>
    <row r="21" spans="1:20" x14ac:dyDescent="0.25">
      <c r="A21" s="35" t="s">
        <v>187</v>
      </c>
      <c r="B21" s="35" t="s">
        <v>188</v>
      </c>
      <c r="C21" s="35" t="s">
        <v>189</v>
      </c>
      <c r="D21" s="35" t="s">
        <v>190</v>
      </c>
      <c r="E21" s="38" t="s">
        <v>140</v>
      </c>
      <c r="F21" s="35"/>
      <c r="G21" s="46"/>
      <c r="H21" s="48" t="s">
        <v>152</v>
      </c>
      <c r="I21" s="48" t="s">
        <v>137</v>
      </c>
      <c r="J21" s="49" t="str">
        <f t="shared" si="0"/>
        <v>✓ Yes</v>
      </c>
      <c r="K21" s="46"/>
      <c r="L21" s="35"/>
      <c r="M21" s="35"/>
      <c r="N21" s="35"/>
      <c r="O21" s="35"/>
      <c r="P21" s="35" t="s">
        <v>138</v>
      </c>
      <c r="Q21" s="35"/>
      <c r="R21" s="35"/>
      <c r="S21" s="35"/>
      <c r="T21" s="35"/>
    </row>
    <row r="22" spans="1:20" ht="22.5" customHeight="1" x14ac:dyDescent="0.25">
      <c r="A22" s="37" t="s">
        <v>191</v>
      </c>
      <c r="B22" s="37" t="s">
        <v>192</v>
      </c>
      <c r="C22" s="37" t="s">
        <v>193</v>
      </c>
      <c r="D22" s="37" t="s">
        <v>194</v>
      </c>
      <c r="E22" s="39" t="s">
        <v>52</v>
      </c>
      <c r="F22" s="50" t="s">
        <v>151</v>
      </c>
      <c r="G22" s="50"/>
      <c r="H22" s="51" t="s">
        <v>152</v>
      </c>
      <c r="I22" s="51" t="s">
        <v>137</v>
      </c>
      <c r="J22" s="52" t="str">
        <f t="shared" si="0"/>
        <v>✗ No</v>
      </c>
      <c r="K22" s="50"/>
      <c r="L22" s="37"/>
      <c r="M22" s="37"/>
      <c r="N22" s="37"/>
      <c r="O22" s="37"/>
      <c r="P22" s="37" t="s">
        <v>138</v>
      </c>
      <c r="Q22" s="37"/>
      <c r="R22" s="37"/>
      <c r="S22" s="37"/>
      <c r="T22" s="37"/>
    </row>
    <row r="23" spans="1:20" x14ac:dyDescent="0.25">
      <c r="A23" s="46" t="s">
        <v>195</v>
      </c>
      <c r="B23" s="46" t="s">
        <v>196</v>
      </c>
      <c r="C23" s="46" t="s">
        <v>197</v>
      </c>
      <c r="D23" s="46" t="s">
        <v>198</v>
      </c>
      <c r="E23" s="47" t="s">
        <v>140</v>
      </c>
      <c r="F23" s="46"/>
      <c r="G23" s="46"/>
      <c r="H23" s="48" t="s">
        <v>152</v>
      </c>
      <c r="I23" s="48" t="s">
        <v>137</v>
      </c>
      <c r="J23" s="49" t="str">
        <f t="shared" si="0"/>
        <v>✓ Yes</v>
      </c>
      <c r="K23" s="46"/>
      <c r="L23" s="46"/>
      <c r="M23" s="46"/>
      <c r="N23" s="46" t="s">
        <v>199</v>
      </c>
      <c r="O23" s="46"/>
      <c r="P23" s="46" t="s">
        <v>138</v>
      </c>
      <c r="Q23" s="46" t="s">
        <v>200</v>
      </c>
      <c r="R23" s="46" t="s">
        <v>201</v>
      </c>
      <c r="S23" s="46"/>
      <c r="T23" s="46"/>
    </row>
    <row r="24" spans="1:20" ht="25.5" x14ac:dyDescent="0.25">
      <c r="A24" s="37" t="s">
        <v>202</v>
      </c>
      <c r="B24" s="37" t="s">
        <v>203</v>
      </c>
      <c r="C24" s="37" t="s">
        <v>158</v>
      </c>
      <c r="D24" s="37" t="s">
        <v>204</v>
      </c>
      <c r="E24" s="38" t="s">
        <v>140</v>
      </c>
      <c r="F24" s="37"/>
      <c r="G24" s="37"/>
      <c r="H24" s="37" t="s">
        <v>152</v>
      </c>
      <c r="I24" s="37" t="s">
        <v>161</v>
      </c>
      <c r="J24" s="57" t="str">
        <f t="shared" si="0"/>
        <v>✓ Yes</v>
      </c>
      <c r="K24" s="37"/>
      <c r="L24" s="37"/>
      <c r="M24" s="37"/>
      <c r="N24" s="63" t="s">
        <v>205</v>
      </c>
      <c r="O24" s="5"/>
      <c r="P24" s="37" t="s">
        <v>138</v>
      </c>
      <c r="Q24" s="37" t="s">
        <v>206</v>
      </c>
      <c r="R24" s="37" t="s">
        <v>207</v>
      </c>
      <c r="S24" s="37" t="s">
        <v>155</v>
      </c>
      <c r="T24" s="37"/>
    </row>
    <row r="25" spans="1:20" x14ac:dyDescent="0.25">
      <c r="A25" s="46" t="s">
        <v>208</v>
      </c>
      <c r="B25" s="46" t="s">
        <v>209</v>
      </c>
      <c r="C25" s="46" t="s">
        <v>210</v>
      </c>
      <c r="D25" s="46" t="s">
        <v>211</v>
      </c>
      <c r="E25" s="38" t="s">
        <v>140</v>
      </c>
      <c r="F25" s="46"/>
      <c r="G25" s="46"/>
      <c r="H25" s="46" t="s">
        <v>152</v>
      </c>
      <c r="I25" s="46" t="s">
        <v>137</v>
      </c>
      <c r="J25" s="59" t="str">
        <f t="shared" si="0"/>
        <v>✓ Yes</v>
      </c>
      <c r="K25" s="46"/>
      <c r="L25" s="46"/>
      <c r="M25" s="46"/>
      <c r="N25" s="46"/>
      <c r="O25" s="46"/>
      <c r="P25" s="46" t="s">
        <v>138</v>
      </c>
      <c r="Q25" s="46" t="s">
        <v>212</v>
      </c>
      <c r="R25" s="46" t="s">
        <v>213</v>
      </c>
      <c r="S25" s="46"/>
      <c r="T25" s="46"/>
    </row>
    <row r="26" spans="1:20" ht="25.5" x14ac:dyDescent="0.25">
      <c r="A26" s="37" t="s">
        <v>214</v>
      </c>
      <c r="B26" s="37" t="s">
        <v>215</v>
      </c>
      <c r="C26" s="37" t="s">
        <v>216</v>
      </c>
      <c r="D26" s="37" t="s">
        <v>217</v>
      </c>
      <c r="E26" s="38" t="s">
        <v>140</v>
      </c>
      <c r="F26" s="37"/>
      <c r="G26" s="37"/>
      <c r="H26" s="37" t="s">
        <v>152</v>
      </c>
      <c r="I26" s="37" t="s">
        <v>137</v>
      </c>
      <c r="J26" s="57" t="str">
        <f t="shared" si="0"/>
        <v>✓ Yes</v>
      </c>
      <c r="K26" s="37"/>
      <c r="L26" s="37"/>
      <c r="M26" s="37"/>
      <c r="N26" s="37"/>
      <c r="O26" s="37"/>
      <c r="P26" s="37" t="s">
        <v>138</v>
      </c>
      <c r="Q26" s="37" t="s">
        <v>218</v>
      </c>
      <c r="R26" s="37"/>
      <c r="S26" s="37"/>
      <c r="T26" s="37"/>
    </row>
    <row r="27" spans="1:20" ht="25.5" x14ac:dyDescent="0.25">
      <c r="A27" s="46" t="s">
        <v>219</v>
      </c>
      <c r="B27" s="46" t="s">
        <v>220</v>
      </c>
      <c r="C27" s="46" t="s">
        <v>210</v>
      </c>
      <c r="D27" s="46" t="s">
        <v>221</v>
      </c>
      <c r="E27" s="38" t="s">
        <v>140</v>
      </c>
      <c r="F27" s="46"/>
      <c r="G27" s="46"/>
      <c r="H27" s="46" t="s">
        <v>160</v>
      </c>
      <c r="I27" s="46" t="s">
        <v>161</v>
      </c>
      <c r="J27" s="59" t="str">
        <f t="shared" si="0"/>
        <v>✗ No</v>
      </c>
      <c r="K27" s="46"/>
      <c r="L27" s="46"/>
      <c r="M27" s="46"/>
      <c r="N27" s="56" t="s">
        <v>222</v>
      </c>
      <c r="O27" s="56"/>
      <c r="P27" s="46" t="s">
        <v>138</v>
      </c>
      <c r="Q27" s="46" t="s">
        <v>223</v>
      </c>
      <c r="R27" s="46" t="s">
        <v>224</v>
      </c>
      <c r="S27" s="46"/>
      <c r="T27" s="46"/>
    </row>
    <row r="28" spans="1:20" ht="25.5" x14ac:dyDescent="0.25">
      <c r="A28" s="37" t="s">
        <v>225</v>
      </c>
      <c r="B28" s="37" t="s">
        <v>220</v>
      </c>
      <c r="C28" s="37" t="s">
        <v>210</v>
      </c>
      <c r="D28" s="37" t="s">
        <v>221</v>
      </c>
      <c r="E28" s="38" t="s">
        <v>140</v>
      </c>
      <c r="F28" s="37"/>
      <c r="G28" s="37"/>
      <c r="H28" s="37" t="s">
        <v>160</v>
      </c>
      <c r="I28" s="37" t="s">
        <v>161</v>
      </c>
      <c r="J28" s="57" t="str">
        <f t="shared" si="0"/>
        <v>✗ No</v>
      </c>
      <c r="K28" s="37"/>
      <c r="L28" s="37"/>
      <c r="M28" s="37"/>
      <c r="N28" s="56" t="s">
        <v>222</v>
      </c>
      <c r="O28" s="56"/>
      <c r="P28" s="37" t="s">
        <v>138</v>
      </c>
      <c r="Q28" s="37" t="s">
        <v>226</v>
      </c>
      <c r="R28" s="37" t="s">
        <v>227</v>
      </c>
      <c r="S28" s="37"/>
      <c r="T28" s="37"/>
    </row>
    <row r="29" spans="1:20" ht="32.25" customHeight="1" x14ac:dyDescent="0.25">
      <c r="A29" s="46" t="s">
        <v>228</v>
      </c>
      <c r="B29" s="46" t="s">
        <v>229</v>
      </c>
      <c r="C29" s="46" t="s">
        <v>210</v>
      </c>
      <c r="D29" s="46" t="s">
        <v>230</v>
      </c>
      <c r="E29" s="36" t="s">
        <v>66</v>
      </c>
      <c r="F29" s="35" t="s">
        <v>163</v>
      </c>
      <c r="G29" s="46"/>
      <c r="H29" s="46" t="s">
        <v>160</v>
      </c>
      <c r="I29" s="46" t="s">
        <v>161</v>
      </c>
      <c r="J29" s="59" t="str">
        <f t="shared" si="0"/>
        <v>✗ No</v>
      </c>
      <c r="K29" s="46"/>
      <c r="L29" s="46"/>
      <c r="M29" s="46"/>
      <c r="N29" s="56" t="s">
        <v>231</v>
      </c>
      <c r="O29" s="56"/>
      <c r="P29" s="46" t="s">
        <v>138</v>
      </c>
      <c r="Q29" s="46" t="s">
        <v>232</v>
      </c>
      <c r="R29" s="46" t="s">
        <v>233</v>
      </c>
      <c r="S29" s="46"/>
      <c r="T29" s="46"/>
    </row>
    <row r="30" spans="1:20" ht="25.5" customHeight="1" x14ac:dyDescent="0.25">
      <c r="A30" s="37" t="s">
        <v>234</v>
      </c>
      <c r="B30" s="37" t="s">
        <v>229</v>
      </c>
      <c r="C30" s="37" t="s">
        <v>210</v>
      </c>
      <c r="D30" s="37" t="s">
        <v>230</v>
      </c>
      <c r="E30" s="38" t="s">
        <v>140</v>
      </c>
      <c r="F30" s="37"/>
      <c r="G30" s="37"/>
      <c r="H30" s="37" t="s">
        <v>152</v>
      </c>
      <c r="I30" s="37" t="s">
        <v>137</v>
      </c>
      <c r="J30" s="57" t="str">
        <f t="shared" si="0"/>
        <v>✓ Yes</v>
      </c>
      <c r="K30" s="37"/>
      <c r="L30" s="37"/>
      <c r="M30" s="37"/>
      <c r="N30" s="5" t="s">
        <v>235</v>
      </c>
      <c r="O30" s="5"/>
      <c r="P30" s="37" t="s">
        <v>138</v>
      </c>
      <c r="Q30" s="37" t="s">
        <v>236</v>
      </c>
      <c r="R30" s="37" t="s">
        <v>237</v>
      </c>
      <c r="S30" s="37"/>
      <c r="T30" s="37"/>
    </row>
    <row r="31" spans="1:20" ht="38.25" customHeight="1" x14ac:dyDescent="0.25">
      <c r="A31" s="40" t="s">
        <v>238</v>
      </c>
      <c r="B31" s="40" t="s">
        <v>239</v>
      </c>
      <c r="C31" s="40" t="s">
        <v>240</v>
      </c>
      <c r="D31" s="40" t="s">
        <v>241</v>
      </c>
      <c r="E31" s="41" t="s">
        <v>242</v>
      </c>
      <c r="F31" s="40"/>
      <c r="G31" s="40"/>
      <c r="H31" s="42" t="s">
        <v>243</v>
      </c>
      <c r="I31" s="42" t="s">
        <v>194</v>
      </c>
      <c r="J31" s="43" t="s">
        <v>244</v>
      </c>
      <c r="K31" s="40"/>
      <c r="L31" s="40"/>
      <c r="M31" s="45"/>
      <c r="N31" s="45" t="s">
        <v>245</v>
      </c>
      <c r="O31" s="45"/>
      <c r="P31" s="40" t="s">
        <v>138</v>
      </c>
      <c r="Q31" s="40" t="s">
        <v>246</v>
      </c>
      <c r="R31" s="40"/>
      <c r="S31" s="40"/>
      <c r="T31" s="40"/>
    </row>
    <row r="32" spans="1:20" ht="38.25" customHeight="1" x14ac:dyDescent="0.25">
      <c r="A32" s="40" t="s">
        <v>247</v>
      </c>
      <c r="B32" s="40" t="s">
        <v>248</v>
      </c>
      <c r="C32" s="40" t="s">
        <v>249</v>
      </c>
      <c r="D32" s="40" t="s">
        <v>250</v>
      </c>
      <c r="E32" s="41" t="s">
        <v>242</v>
      </c>
      <c r="F32" s="40"/>
      <c r="G32" s="40"/>
      <c r="H32" s="42" t="s">
        <v>243</v>
      </c>
      <c r="I32" s="42" t="s">
        <v>194</v>
      </c>
      <c r="J32" s="43" t="s">
        <v>244</v>
      </c>
      <c r="K32" s="40"/>
      <c r="L32" s="40"/>
      <c r="M32" s="45"/>
      <c r="N32" s="45" t="s">
        <v>251</v>
      </c>
      <c r="O32" s="45"/>
      <c r="P32" s="40" t="s">
        <v>194</v>
      </c>
      <c r="Q32" s="40" t="s">
        <v>252</v>
      </c>
      <c r="R32" s="40"/>
      <c r="S32" s="40"/>
      <c r="T32" s="40"/>
    </row>
    <row r="33" spans="1:20" ht="38.25" customHeight="1" x14ac:dyDescent="0.25">
      <c r="A33" s="40" t="s">
        <v>253</v>
      </c>
      <c r="B33" s="40" t="s">
        <v>254</v>
      </c>
      <c r="C33" s="40" t="s">
        <v>158</v>
      </c>
      <c r="D33" s="40" t="s">
        <v>204</v>
      </c>
      <c r="E33" s="41" t="s">
        <v>242</v>
      </c>
      <c r="F33" s="40"/>
      <c r="G33" s="40"/>
      <c r="H33" s="42" t="s">
        <v>243</v>
      </c>
      <c r="I33" s="42" t="s">
        <v>194</v>
      </c>
      <c r="J33" s="43" t="s">
        <v>244</v>
      </c>
      <c r="K33" s="40"/>
      <c r="L33" s="40"/>
      <c r="M33" s="40"/>
      <c r="N33" s="45" t="s">
        <v>255</v>
      </c>
      <c r="O33" s="45"/>
      <c r="P33" s="40" t="s">
        <v>194</v>
      </c>
      <c r="Q33" s="40" t="s">
        <v>256</v>
      </c>
      <c r="R33" s="40"/>
      <c r="S33" s="40"/>
      <c r="T33" s="40"/>
    </row>
    <row r="34" spans="1:20" ht="38.25" customHeight="1" x14ac:dyDescent="0.25">
      <c r="A34" s="40" t="s">
        <v>257</v>
      </c>
      <c r="B34" s="40" t="s">
        <v>258</v>
      </c>
      <c r="C34" s="40" t="s">
        <v>197</v>
      </c>
      <c r="D34" s="40" t="s">
        <v>259</v>
      </c>
      <c r="E34" s="41" t="s">
        <v>242</v>
      </c>
      <c r="F34" s="40"/>
      <c r="G34" s="40"/>
      <c r="H34" s="42" t="s">
        <v>243</v>
      </c>
      <c r="I34" s="42" t="s">
        <v>194</v>
      </c>
      <c r="J34" s="43" t="s">
        <v>244</v>
      </c>
      <c r="K34" s="40"/>
      <c r="L34" s="40"/>
      <c r="M34" s="40"/>
      <c r="N34" s="44" t="s">
        <v>260</v>
      </c>
      <c r="O34" s="44"/>
      <c r="P34" s="40" t="s">
        <v>194</v>
      </c>
      <c r="Q34" s="40" t="s">
        <v>261</v>
      </c>
      <c r="R34" s="40"/>
      <c r="S34" s="40"/>
      <c r="T34" s="40"/>
    </row>
    <row r="35" spans="1:20" ht="38.25" customHeight="1" x14ac:dyDescent="0.25">
      <c r="A35" s="40" t="s">
        <v>262</v>
      </c>
      <c r="B35" s="40" t="s">
        <v>258</v>
      </c>
      <c r="C35" s="40" t="s">
        <v>197</v>
      </c>
      <c r="D35" s="40" t="s">
        <v>259</v>
      </c>
      <c r="E35" s="41" t="s">
        <v>242</v>
      </c>
      <c r="F35" s="40"/>
      <c r="G35" s="40"/>
      <c r="H35" s="42" t="s">
        <v>243</v>
      </c>
      <c r="I35" s="42" t="s">
        <v>194</v>
      </c>
      <c r="J35" s="43" t="s">
        <v>244</v>
      </c>
      <c r="K35" s="40"/>
      <c r="L35" s="40"/>
      <c r="M35" s="40"/>
      <c r="N35" s="44" t="s">
        <v>263</v>
      </c>
      <c r="O35" s="44"/>
      <c r="P35" s="40" t="s">
        <v>194</v>
      </c>
      <c r="Q35" s="40" t="s">
        <v>264</v>
      </c>
      <c r="R35" s="40"/>
      <c r="S35" s="40"/>
      <c r="T35" s="40"/>
    </row>
    <row r="36" spans="1:20" ht="38.25" customHeight="1" x14ac:dyDescent="0.25">
      <c r="A36" s="40" t="s">
        <v>265</v>
      </c>
      <c r="B36" s="40" t="s">
        <v>266</v>
      </c>
      <c r="C36" s="40" t="s">
        <v>267</v>
      </c>
      <c r="D36" s="40" t="s">
        <v>268</v>
      </c>
      <c r="E36" s="41" t="s">
        <v>242</v>
      </c>
      <c r="F36" s="40"/>
      <c r="G36" s="40"/>
      <c r="H36" s="42" t="s">
        <v>243</v>
      </c>
      <c r="I36" s="42" t="s">
        <v>194</v>
      </c>
      <c r="J36" s="43" t="s">
        <v>244</v>
      </c>
      <c r="K36" s="40"/>
      <c r="L36" s="40"/>
      <c r="M36" s="40"/>
      <c r="N36" s="44" t="s">
        <v>269</v>
      </c>
      <c r="O36" s="44"/>
      <c r="P36" s="40" t="s">
        <v>194</v>
      </c>
      <c r="Q36" s="40" t="s">
        <v>270</v>
      </c>
      <c r="R36" s="40"/>
      <c r="S36" s="40"/>
      <c r="T36" s="40"/>
    </row>
    <row r="37" spans="1:20" ht="38.25" customHeight="1" x14ac:dyDescent="0.25">
      <c r="A37" s="40" t="s">
        <v>271</v>
      </c>
      <c r="B37" s="40" t="s">
        <v>272</v>
      </c>
      <c r="C37" s="40" t="s">
        <v>273</v>
      </c>
      <c r="D37" s="40" t="s">
        <v>274</v>
      </c>
      <c r="E37" s="41" t="s">
        <v>242</v>
      </c>
      <c r="F37" s="40"/>
      <c r="G37" s="40"/>
      <c r="H37" s="42" t="s">
        <v>243</v>
      </c>
      <c r="I37" s="42" t="s">
        <v>194</v>
      </c>
      <c r="J37" s="43" t="s">
        <v>244</v>
      </c>
      <c r="K37" s="40"/>
      <c r="L37" s="40"/>
      <c r="M37" s="40"/>
      <c r="N37" s="44" t="s">
        <v>275</v>
      </c>
      <c r="O37" s="44"/>
      <c r="P37" s="40" t="s">
        <v>194</v>
      </c>
      <c r="Q37" s="40" t="s">
        <v>276</v>
      </c>
      <c r="R37" s="40"/>
      <c r="S37" s="40"/>
      <c r="T37" s="40"/>
    </row>
    <row r="41" spans="1:20" ht="25.5" customHeight="1" x14ac:dyDescent="0.25">
      <c r="G41" s="37" t="s">
        <v>277</v>
      </c>
    </row>
  </sheetData>
  <mergeCells count="3">
    <mergeCell ref="A1:T1"/>
    <mergeCell ref="A4:T4"/>
    <mergeCell ref="A2:T2"/>
  </mergeCells>
  <conditionalFormatting sqref="H6:H23">
    <cfRule type="expression" dxfId="13" priority="1">
      <formula>$H6="Grounded"</formula>
    </cfRule>
  </conditionalFormatting>
  <conditionalFormatting sqref="I6:I23">
    <cfRule type="expression" dxfId="0" priority="2">
      <formula>$I6="Unknown"</formula>
    </cfRule>
  </conditionalFormatting>
  <dataValidations count="3">
    <dataValidation type="list" allowBlank="1" sqref="H6:H30" xr:uid="{00000000-0002-0000-0100-000000000000}">
      <formula1>"Operational,Active — Site,Standby,Grounded,Under Maintenance,Drydocked,Unknown,New — Verify"</formula1>
    </dataValidation>
    <dataValidation type="list" allowBlank="1" sqref="I6:I30" xr:uid="{00000000-0002-0000-0100-000001000000}">
      <formula1>"Good,Minor Issue,Issue,Critical,Unknown"</formula1>
    </dataValidation>
    <dataValidation type="list" allowBlank="1" sqref="K6:K30" xr:uid="{00000000-0002-0000-0100-000002000000}">
      <formula1>"Yes,No,Not Required"</formula1>
    </dataValidation>
  </dataValidations>
  <pageMargins left="0.25" right="0.25" top="0.75" bottom="0.75" header="0.3" footer="0.3"/>
  <pageSetup paperSize="9" scale="39" orientation="landscape" horizont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B6B"/>
  </sheetPr>
  <dimension ref="A1:S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B5" sqref="B5:C5"/>
    </sheetView>
  </sheetViews>
  <sheetFormatPr defaultRowHeight="15" x14ac:dyDescent="0.25"/>
  <cols>
    <col min="1" max="4" width="14" customWidth="1"/>
    <col min="5" max="5" width="12" customWidth="1"/>
    <col min="6" max="6" width="26" customWidth="1"/>
    <col min="7" max="7" width="46" customWidth="1"/>
    <col min="8" max="9" width="16" customWidth="1"/>
    <col min="10" max="11" width="18" customWidth="1"/>
    <col min="12" max="12" width="22" customWidth="1"/>
    <col min="13" max="13" width="16" customWidth="1"/>
    <col min="14" max="14" width="14" customWidth="1"/>
    <col min="15" max="16" width="16" customWidth="1"/>
    <col min="17" max="17" width="14" customWidth="1"/>
    <col min="18" max="18" width="16" customWidth="1"/>
    <col min="19" max="19" width="40" customWidth="1"/>
  </cols>
  <sheetData>
    <row r="1" spans="1:19" ht="27.95" customHeight="1" x14ac:dyDescent="0.25">
      <c r="A1" s="89" t="s">
        <v>278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</row>
    <row r="2" spans="1:19" ht="15.95" customHeight="1" x14ac:dyDescent="0.25">
      <c r="A2" s="92" t="s">
        <v>279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1:19" ht="8.1" customHeight="1" x14ac:dyDescent="0.25"/>
    <row r="4" spans="1:19" ht="30" customHeight="1" x14ac:dyDescent="0.25">
      <c r="A4" s="1" t="s">
        <v>280</v>
      </c>
      <c r="B4" s="1" t="s">
        <v>281</v>
      </c>
      <c r="C4" s="1" t="s">
        <v>39</v>
      </c>
      <c r="D4" s="1" t="s">
        <v>46</v>
      </c>
      <c r="E4" s="1" t="s">
        <v>282</v>
      </c>
      <c r="F4" s="1" t="s">
        <v>283</v>
      </c>
      <c r="G4" s="1" t="s">
        <v>284</v>
      </c>
      <c r="H4" s="1" t="s">
        <v>127</v>
      </c>
      <c r="I4" s="1" t="s">
        <v>285</v>
      </c>
      <c r="J4" s="1" t="s">
        <v>286</v>
      </c>
      <c r="K4" s="1" t="s">
        <v>287</v>
      </c>
      <c r="L4" s="1" t="s">
        <v>288</v>
      </c>
      <c r="M4" s="1" t="s">
        <v>289</v>
      </c>
      <c r="N4" s="1" t="s">
        <v>290</v>
      </c>
      <c r="O4" s="1" t="s">
        <v>291</v>
      </c>
      <c r="P4" s="1" t="s">
        <v>292</v>
      </c>
      <c r="Q4" s="1" t="s">
        <v>293</v>
      </c>
      <c r="R4" s="1" t="s">
        <v>294</v>
      </c>
      <c r="S4" s="1" t="s">
        <v>295</v>
      </c>
    </row>
    <row r="5" spans="1:19" ht="42" customHeight="1" x14ac:dyDescent="0.25">
      <c r="A5" s="5" t="s">
        <v>296</v>
      </c>
      <c r="B5" s="5" t="s">
        <v>14</v>
      </c>
      <c r="C5" s="5" t="s">
        <v>297</v>
      </c>
      <c r="D5" s="11" t="s">
        <v>19</v>
      </c>
      <c r="E5" s="5" t="s">
        <v>298</v>
      </c>
      <c r="F5" s="5" t="s">
        <v>299</v>
      </c>
      <c r="G5" s="5" t="s">
        <v>300</v>
      </c>
      <c r="H5" s="5"/>
      <c r="I5" s="5"/>
      <c r="J5" s="5"/>
      <c r="K5" s="5"/>
      <c r="L5" s="5" t="s">
        <v>301</v>
      </c>
      <c r="M5" s="5"/>
      <c r="N5" s="5"/>
      <c r="O5" s="5"/>
      <c r="P5" s="5"/>
      <c r="Q5" s="5"/>
      <c r="R5" s="5"/>
      <c r="S5" s="5"/>
    </row>
    <row r="6" spans="1:19" ht="42" customHeight="1" x14ac:dyDescent="0.25">
      <c r="A6" s="4" t="s">
        <v>302</v>
      </c>
      <c r="B6" s="4" t="s">
        <v>15</v>
      </c>
      <c r="C6" s="4" t="s">
        <v>303</v>
      </c>
      <c r="D6" s="11" t="s">
        <v>19</v>
      </c>
      <c r="E6" s="4" t="s">
        <v>298</v>
      </c>
      <c r="F6" s="4" t="s">
        <v>304</v>
      </c>
      <c r="G6" s="4" t="s">
        <v>305</v>
      </c>
      <c r="H6" s="4"/>
      <c r="I6" s="4"/>
      <c r="J6" s="4"/>
      <c r="K6" s="4"/>
      <c r="L6" s="4" t="s">
        <v>306</v>
      </c>
      <c r="M6" s="4"/>
      <c r="N6" s="4"/>
      <c r="O6" s="4"/>
      <c r="P6" s="4"/>
      <c r="Q6" s="4"/>
      <c r="R6" s="4"/>
      <c r="S6" s="4"/>
    </row>
    <row r="7" spans="1:19" ht="42" customHeight="1" x14ac:dyDescent="0.25">
      <c r="A7" s="5" t="s">
        <v>307</v>
      </c>
      <c r="B7" s="5" t="s">
        <v>16</v>
      </c>
      <c r="C7" s="5" t="s">
        <v>308</v>
      </c>
      <c r="D7" s="11" t="s">
        <v>20</v>
      </c>
      <c r="E7" s="5" t="s">
        <v>298</v>
      </c>
      <c r="F7" s="5" t="s">
        <v>309</v>
      </c>
      <c r="G7" s="5"/>
      <c r="H7" s="5"/>
      <c r="I7" s="5"/>
      <c r="J7" s="5"/>
      <c r="K7" s="5"/>
      <c r="L7" s="5" t="s">
        <v>310</v>
      </c>
      <c r="M7" s="5"/>
      <c r="N7" s="5"/>
      <c r="O7" s="5"/>
      <c r="P7" s="5"/>
      <c r="Q7" s="5"/>
      <c r="R7" s="5"/>
      <c r="S7" s="5"/>
    </row>
    <row r="8" spans="1:19" ht="42" customHeight="1" x14ac:dyDescent="0.25">
      <c r="A8" s="4" t="s">
        <v>91</v>
      </c>
      <c r="B8" s="4" t="s">
        <v>17</v>
      </c>
      <c r="C8" s="4" t="s">
        <v>308</v>
      </c>
      <c r="D8" s="2" t="s">
        <v>21</v>
      </c>
      <c r="E8" s="10" t="s">
        <v>311</v>
      </c>
      <c r="F8" s="4" t="s">
        <v>194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312</v>
      </c>
    </row>
    <row r="9" spans="1:19" x14ac:dyDescent="0.25">
      <c r="B9" t="s">
        <v>313</v>
      </c>
      <c r="C9" t="s">
        <v>314</v>
      </c>
      <c r="D9" s="11" t="s">
        <v>19</v>
      </c>
      <c r="E9" s="5" t="s">
        <v>298</v>
      </c>
    </row>
  </sheetData>
  <mergeCells count="2">
    <mergeCell ref="A2:R2"/>
    <mergeCell ref="A1:R1"/>
  </mergeCells>
  <conditionalFormatting sqref="N5:O20">
    <cfRule type="expression" dxfId="12" priority="1">
      <formula>AND(N5&lt;&gt;"",N5&lt;TODAY()+60)</formula>
    </cfRule>
  </conditionalFormatting>
  <dataValidations count="1">
    <dataValidation type="list" allowBlank="1" sqref="D5:D20" xr:uid="{00000000-0002-0000-0200-000000000000}">
      <formula1>"Active,Running,Drydocked,Standby,Under Repair,Idle"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A3"/>
  </sheetPr>
  <dimension ref="A1:P44"/>
  <sheetViews>
    <sheetView showGridLines="0" workbookViewId="0">
      <pane ySplit="4" topLeftCell="A5" activePane="bottomLeft" state="frozen"/>
      <selection pane="bottomLeft" activeCell="B16" sqref="B16"/>
    </sheetView>
  </sheetViews>
  <sheetFormatPr defaultRowHeight="15" x14ac:dyDescent="0.25"/>
  <cols>
    <col min="1" max="1" width="14" customWidth="1"/>
    <col min="2" max="2" width="35.85546875" customWidth="1"/>
    <col min="3" max="3" width="26" customWidth="1"/>
    <col min="4" max="4" width="18" customWidth="1"/>
    <col min="5" max="5" width="8" customWidth="1"/>
    <col min="6" max="6" width="12" customWidth="1"/>
    <col min="7" max="7" width="16" customWidth="1"/>
    <col min="8" max="8" width="10" customWidth="1"/>
    <col min="9" max="9" width="14" customWidth="1"/>
    <col min="10" max="10" width="20" customWidth="1"/>
    <col min="11" max="11" width="22" customWidth="1"/>
    <col min="12" max="12" width="16" customWidth="1"/>
    <col min="13" max="13" width="14" customWidth="1"/>
    <col min="14" max="14" width="20" customWidth="1"/>
    <col min="15" max="15" width="14" customWidth="1"/>
    <col min="16" max="16" width="30" customWidth="1"/>
  </cols>
  <sheetData>
    <row r="1" spans="1:16" ht="27.95" customHeight="1" x14ac:dyDescent="0.25">
      <c r="A1" s="89" t="s">
        <v>315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95" customHeight="1" x14ac:dyDescent="0.25">
      <c r="A2" s="93" t="s">
        <v>316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8.1" customHeight="1" x14ac:dyDescent="0.25"/>
    <row r="4" spans="1:16" ht="30" customHeight="1" x14ac:dyDescent="0.25">
      <c r="A4" s="1" t="s">
        <v>317</v>
      </c>
      <c r="B4" s="1" t="s">
        <v>318</v>
      </c>
      <c r="C4" s="1" t="s">
        <v>319</v>
      </c>
      <c r="D4" s="1" t="s">
        <v>320</v>
      </c>
      <c r="E4" s="1" t="s">
        <v>321</v>
      </c>
      <c r="F4" s="1" t="s">
        <v>322</v>
      </c>
      <c r="G4" s="1" t="s">
        <v>323</v>
      </c>
      <c r="H4" s="1" t="s">
        <v>324</v>
      </c>
      <c r="I4" s="1" t="s">
        <v>46</v>
      </c>
      <c r="J4" s="1" t="s">
        <v>117</v>
      </c>
      <c r="K4" s="1" t="s">
        <v>325</v>
      </c>
      <c r="L4" s="1" t="s">
        <v>289</v>
      </c>
      <c r="M4" s="1" t="s">
        <v>290</v>
      </c>
      <c r="N4" s="1" t="s">
        <v>326</v>
      </c>
      <c r="O4" s="1" t="s">
        <v>327</v>
      </c>
      <c r="P4" s="1" t="s">
        <v>47</v>
      </c>
    </row>
    <row r="5" spans="1:16" ht="20.100000000000001" customHeight="1" x14ac:dyDescent="0.25">
      <c r="A5" s="12" t="s">
        <v>328</v>
      </c>
      <c r="B5" s="12" t="s">
        <v>329</v>
      </c>
      <c r="C5" s="12" t="s">
        <v>330</v>
      </c>
      <c r="D5" s="12" t="s">
        <v>331</v>
      </c>
      <c r="E5" s="12" t="s">
        <v>332</v>
      </c>
      <c r="F5" s="12" t="s">
        <v>333</v>
      </c>
      <c r="G5" s="12" t="s">
        <v>31</v>
      </c>
      <c r="H5" s="12" t="s">
        <v>298</v>
      </c>
      <c r="I5" s="12" t="s">
        <v>29</v>
      </c>
      <c r="J5" s="12"/>
      <c r="K5" s="12"/>
      <c r="L5" s="12"/>
      <c r="M5" s="12"/>
      <c r="N5" s="12"/>
      <c r="O5" s="12"/>
      <c r="P5" s="12"/>
    </row>
    <row r="6" spans="1:16" ht="20.100000000000001" customHeight="1" x14ac:dyDescent="0.25">
      <c r="A6" s="5" t="s">
        <v>334</v>
      </c>
      <c r="B6" s="5" t="s">
        <v>335</v>
      </c>
      <c r="C6" s="5" t="s">
        <v>336</v>
      </c>
      <c r="D6" s="5" t="s">
        <v>337</v>
      </c>
      <c r="E6" s="5" t="s">
        <v>338</v>
      </c>
      <c r="F6" s="5" t="s">
        <v>339</v>
      </c>
      <c r="G6" s="5" t="s">
        <v>31</v>
      </c>
      <c r="H6" s="5" t="s">
        <v>298</v>
      </c>
      <c r="I6" s="5" t="s">
        <v>29</v>
      </c>
      <c r="J6" s="5"/>
      <c r="K6" s="5"/>
      <c r="L6" s="5"/>
      <c r="M6" s="5"/>
      <c r="N6" s="5"/>
      <c r="O6" s="5"/>
      <c r="P6" s="5"/>
    </row>
    <row r="7" spans="1:16" ht="20.100000000000001" customHeight="1" x14ac:dyDescent="0.25">
      <c r="A7" s="12" t="s">
        <v>340</v>
      </c>
      <c r="B7" s="12" t="s">
        <v>341</v>
      </c>
      <c r="C7" s="12" t="s">
        <v>330</v>
      </c>
      <c r="D7" s="12" t="s">
        <v>331</v>
      </c>
      <c r="E7" s="12" t="s">
        <v>332</v>
      </c>
      <c r="F7" s="12" t="s">
        <v>342</v>
      </c>
      <c r="G7" s="12" t="s">
        <v>31</v>
      </c>
      <c r="H7" s="12" t="s">
        <v>298</v>
      </c>
      <c r="I7" s="12" t="s">
        <v>29</v>
      </c>
      <c r="J7" s="12"/>
      <c r="K7" s="12"/>
      <c r="L7" s="12"/>
      <c r="M7" s="12"/>
      <c r="N7" s="12"/>
      <c r="O7" s="12"/>
      <c r="P7" s="12"/>
    </row>
    <row r="8" spans="1:16" ht="20.100000000000001" customHeight="1" x14ac:dyDescent="0.25">
      <c r="A8" s="5" t="s">
        <v>343</v>
      </c>
      <c r="B8" s="5" t="s">
        <v>344</v>
      </c>
      <c r="C8" s="5" t="s">
        <v>345</v>
      </c>
      <c r="D8" s="5" t="s">
        <v>337</v>
      </c>
      <c r="E8" s="5" t="s">
        <v>338</v>
      </c>
      <c r="F8" s="5" t="s">
        <v>346</v>
      </c>
      <c r="G8" s="5" t="s">
        <v>347</v>
      </c>
      <c r="H8" s="11" t="s">
        <v>311</v>
      </c>
      <c r="I8" s="5" t="s">
        <v>29</v>
      </c>
      <c r="J8" s="5"/>
      <c r="K8" s="5"/>
      <c r="L8" s="5"/>
      <c r="M8" s="5"/>
      <c r="N8" s="5"/>
      <c r="O8" s="5"/>
      <c r="P8" s="5"/>
    </row>
    <row r="9" spans="1:16" ht="20.100000000000001" customHeight="1" x14ac:dyDescent="0.25">
      <c r="A9" s="12" t="s">
        <v>348</v>
      </c>
      <c r="B9" s="12" t="s">
        <v>349</v>
      </c>
      <c r="C9" s="12" t="s">
        <v>350</v>
      </c>
      <c r="D9" s="12" t="s">
        <v>337</v>
      </c>
      <c r="E9" s="12" t="s">
        <v>338</v>
      </c>
      <c r="F9" s="12" t="s">
        <v>346</v>
      </c>
      <c r="G9" s="12" t="s">
        <v>31</v>
      </c>
      <c r="H9" s="12" t="s">
        <v>298</v>
      </c>
      <c r="I9" s="12" t="s">
        <v>29</v>
      </c>
      <c r="J9" s="12"/>
      <c r="K9" s="12"/>
      <c r="L9" s="12"/>
      <c r="M9" s="12"/>
      <c r="N9" s="12"/>
      <c r="O9" s="12"/>
      <c r="P9" s="12"/>
    </row>
    <row r="10" spans="1:16" ht="20.100000000000001" customHeight="1" x14ac:dyDescent="0.25">
      <c r="A10" s="5" t="s">
        <v>351</v>
      </c>
      <c r="B10" s="5" t="s">
        <v>352</v>
      </c>
      <c r="C10" s="5" t="s">
        <v>336</v>
      </c>
      <c r="D10" s="5" t="s">
        <v>337</v>
      </c>
      <c r="E10" s="5" t="s">
        <v>338</v>
      </c>
      <c r="F10" s="5" t="s">
        <v>353</v>
      </c>
      <c r="G10" s="5" t="s">
        <v>31</v>
      </c>
      <c r="H10" s="5" t="s">
        <v>298</v>
      </c>
      <c r="I10" s="5" t="s">
        <v>29</v>
      </c>
      <c r="J10" s="5"/>
      <c r="K10" s="5"/>
      <c r="L10" s="5"/>
      <c r="M10" s="5"/>
      <c r="N10" s="5"/>
      <c r="O10" s="5"/>
      <c r="P10" s="5"/>
    </row>
    <row r="11" spans="1:16" ht="20.100000000000001" customHeight="1" x14ac:dyDescent="0.25">
      <c r="A11" s="8" t="s">
        <v>354</v>
      </c>
      <c r="B11" s="8" t="s">
        <v>355</v>
      </c>
      <c r="C11" s="8" t="s">
        <v>356</v>
      </c>
      <c r="D11" s="8" t="s">
        <v>357</v>
      </c>
      <c r="E11" s="8" t="s">
        <v>358</v>
      </c>
      <c r="F11" s="8" t="s">
        <v>359</v>
      </c>
      <c r="G11" s="8" t="s">
        <v>347</v>
      </c>
      <c r="H11" s="11" t="s">
        <v>311</v>
      </c>
      <c r="I11" s="8" t="s">
        <v>29</v>
      </c>
      <c r="J11" s="8"/>
      <c r="K11" s="8"/>
      <c r="L11" s="8"/>
      <c r="M11" s="8"/>
      <c r="N11" s="8"/>
      <c r="O11" s="8"/>
      <c r="P11" s="8"/>
    </row>
    <row r="12" spans="1:16" ht="20.100000000000001" customHeight="1" x14ac:dyDescent="0.25">
      <c r="A12" s="5" t="s">
        <v>360</v>
      </c>
      <c r="B12" s="5" t="s">
        <v>361</v>
      </c>
      <c r="C12" s="5" t="s">
        <v>362</v>
      </c>
      <c r="D12" s="5" t="s">
        <v>337</v>
      </c>
      <c r="E12" s="5" t="s">
        <v>338</v>
      </c>
      <c r="F12" s="5" t="s">
        <v>363</v>
      </c>
      <c r="G12" s="5" t="s">
        <v>347</v>
      </c>
      <c r="H12" s="5" t="s">
        <v>298</v>
      </c>
      <c r="I12" s="5" t="s">
        <v>29</v>
      </c>
      <c r="J12" s="5"/>
      <c r="K12" s="5"/>
      <c r="L12" s="5"/>
      <c r="M12" s="5"/>
      <c r="N12" s="5"/>
      <c r="O12" s="5"/>
      <c r="P12" s="5"/>
    </row>
    <row r="13" spans="1:16" ht="20.100000000000001" customHeight="1" x14ac:dyDescent="0.25">
      <c r="A13" s="8" t="s">
        <v>364</v>
      </c>
      <c r="B13" s="8" t="s">
        <v>365</v>
      </c>
      <c r="C13" s="8" t="s">
        <v>366</v>
      </c>
      <c r="D13" s="8" t="s">
        <v>357</v>
      </c>
      <c r="E13" s="8" t="s">
        <v>367</v>
      </c>
      <c r="F13" s="8" t="s">
        <v>368</v>
      </c>
      <c r="G13" s="8" t="s">
        <v>347</v>
      </c>
      <c r="H13" s="8" t="s">
        <v>298</v>
      </c>
      <c r="I13" s="8" t="s">
        <v>29</v>
      </c>
      <c r="J13" s="8"/>
      <c r="K13" s="8"/>
      <c r="L13" s="8"/>
      <c r="M13" s="8"/>
      <c r="N13" s="8"/>
      <c r="O13" s="8"/>
      <c r="P13" s="8"/>
    </row>
    <row r="14" spans="1:16" ht="20.100000000000001" customHeight="1" x14ac:dyDescent="0.25">
      <c r="A14" s="5" t="s">
        <v>369</v>
      </c>
      <c r="B14" s="5" t="s">
        <v>370</v>
      </c>
      <c r="C14" s="5" t="s">
        <v>336</v>
      </c>
      <c r="D14" s="5" t="s">
        <v>337</v>
      </c>
      <c r="E14" s="5" t="s">
        <v>358</v>
      </c>
      <c r="F14" s="5" t="s">
        <v>371</v>
      </c>
      <c r="G14" s="5" t="s">
        <v>31</v>
      </c>
      <c r="H14" s="5" t="s">
        <v>298</v>
      </c>
      <c r="I14" s="5" t="s">
        <v>29</v>
      </c>
      <c r="J14" s="5"/>
      <c r="K14" s="5"/>
      <c r="L14" s="5"/>
      <c r="M14" s="5"/>
      <c r="N14" s="5"/>
      <c r="O14" s="5"/>
      <c r="P14" s="5"/>
    </row>
    <row r="15" spans="1:16" ht="20.100000000000001" customHeight="1" x14ac:dyDescent="0.25">
      <c r="A15" s="12" t="s">
        <v>372</v>
      </c>
      <c r="B15" s="12" t="s">
        <v>373</v>
      </c>
      <c r="C15" s="12" t="s">
        <v>374</v>
      </c>
      <c r="D15" s="12" t="s">
        <v>337</v>
      </c>
      <c r="E15" s="12" t="s">
        <v>332</v>
      </c>
      <c r="F15" s="12" t="s">
        <v>375</v>
      </c>
      <c r="G15" s="12" t="s">
        <v>31</v>
      </c>
      <c r="H15" s="12" t="s">
        <v>298</v>
      </c>
      <c r="I15" s="12" t="s">
        <v>29</v>
      </c>
      <c r="J15" s="12"/>
      <c r="K15" s="12"/>
      <c r="L15" s="12"/>
      <c r="M15" s="12"/>
      <c r="N15" s="12"/>
      <c r="O15" s="12"/>
      <c r="P15" s="12"/>
    </row>
    <row r="16" spans="1:16" ht="20.100000000000001" customHeight="1" x14ac:dyDescent="0.25">
      <c r="A16" s="5" t="s">
        <v>376</v>
      </c>
      <c r="B16" s="5" t="s">
        <v>377</v>
      </c>
      <c r="C16" s="5" t="s">
        <v>350</v>
      </c>
      <c r="D16" s="5" t="s">
        <v>337</v>
      </c>
      <c r="E16" s="5" t="s">
        <v>358</v>
      </c>
      <c r="F16" s="5" t="s">
        <v>378</v>
      </c>
      <c r="G16" s="5" t="s">
        <v>31</v>
      </c>
      <c r="H16" s="5" t="s">
        <v>298</v>
      </c>
      <c r="I16" s="5" t="s">
        <v>29</v>
      </c>
      <c r="J16" s="5"/>
      <c r="K16" s="5"/>
      <c r="L16" s="5"/>
      <c r="M16" s="5"/>
      <c r="N16" s="5"/>
      <c r="O16" s="5"/>
      <c r="P16" s="5"/>
    </row>
    <row r="17" spans="1:16" ht="20.100000000000001" customHeight="1" x14ac:dyDescent="0.25">
      <c r="A17" s="8" t="s">
        <v>379</v>
      </c>
      <c r="B17" s="8" t="s">
        <v>380</v>
      </c>
      <c r="C17" s="8" t="s">
        <v>381</v>
      </c>
      <c r="D17" s="8" t="s">
        <v>331</v>
      </c>
      <c r="E17" s="8" t="s">
        <v>382</v>
      </c>
      <c r="F17" s="8" t="s">
        <v>383</v>
      </c>
      <c r="G17" s="8" t="s">
        <v>347</v>
      </c>
      <c r="H17" s="8" t="s">
        <v>298</v>
      </c>
      <c r="I17" s="8" t="s">
        <v>29</v>
      </c>
      <c r="J17" s="8"/>
      <c r="K17" s="8"/>
      <c r="L17" s="8"/>
      <c r="M17" s="8"/>
      <c r="N17" s="8"/>
      <c r="O17" s="8"/>
      <c r="P17" s="8"/>
    </row>
    <row r="18" spans="1:16" ht="20.100000000000001" customHeight="1" x14ac:dyDescent="0.25">
      <c r="A18" s="5" t="s">
        <v>384</v>
      </c>
      <c r="B18" s="5" t="s">
        <v>385</v>
      </c>
      <c r="C18" s="5" t="s">
        <v>350</v>
      </c>
      <c r="D18" s="5" t="s">
        <v>337</v>
      </c>
      <c r="E18" s="5" t="s">
        <v>386</v>
      </c>
      <c r="F18" s="5" t="s">
        <v>387</v>
      </c>
      <c r="G18" s="5" t="s">
        <v>31</v>
      </c>
      <c r="H18" s="5" t="s">
        <v>298</v>
      </c>
      <c r="I18" s="5" t="s">
        <v>29</v>
      </c>
      <c r="J18" s="5"/>
      <c r="K18" s="5"/>
      <c r="L18" s="5"/>
      <c r="M18" s="5"/>
      <c r="N18" s="5"/>
      <c r="O18" s="5"/>
      <c r="P18" s="5"/>
    </row>
    <row r="19" spans="1:16" ht="20.100000000000001" customHeight="1" x14ac:dyDescent="0.25">
      <c r="A19" s="8" t="s">
        <v>388</v>
      </c>
      <c r="B19" s="8" t="s">
        <v>389</v>
      </c>
      <c r="C19" s="8" t="s">
        <v>390</v>
      </c>
      <c r="D19" s="8" t="s">
        <v>337</v>
      </c>
      <c r="E19" s="8" t="s">
        <v>386</v>
      </c>
      <c r="F19" s="8" t="s">
        <v>391</v>
      </c>
      <c r="G19" s="8" t="s">
        <v>347</v>
      </c>
      <c r="H19" s="8" t="s">
        <v>298</v>
      </c>
      <c r="I19" s="8" t="s">
        <v>29</v>
      </c>
      <c r="J19" s="8"/>
      <c r="K19" s="8"/>
      <c r="L19" s="8"/>
      <c r="M19" s="8"/>
      <c r="N19" s="8"/>
      <c r="O19" s="8"/>
      <c r="P19" s="8"/>
    </row>
    <row r="20" spans="1:16" ht="20.100000000000001" customHeight="1" x14ac:dyDescent="0.25">
      <c r="A20" s="5" t="s">
        <v>392</v>
      </c>
      <c r="B20" s="5" t="s">
        <v>393</v>
      </c>
      <c r="C20" s="5" t="s">
        <v>390</v>
      </c>
      <c r="D20" s="5" t="s">
        <v>337</v>
      </c>
      <c r="E20" s="5" t="s">
        <v>386</v>
      </c>
      <c r="F20" s="5" t="s">
        <v>391</v>
      </c>
      <c r="G20" s="5" t="s">
        <v>347</v>
      </c>
      <c r="H20" s="5" t="s">
        <v>298</v>
      </c>
      <c r="I20" s="5" t="s">
        <v>29</v>
      </c>
      <c r="J20" s="5"/>
      <c r="K20" s="5"/>
      <c r="L20" s="5"/>
      <c r="M20" s="5"/>
      <c r="N20" s="5"/>
      <c r="O20" s="5"/>
      <c r="P20" s="5"/>
    </row>
    <row r="21" spans="1:16" ht="20.100000000000001" customHeight="1" x14ac:dyDescent="0.25">
      <c r="A21" s="8" t="s">
        <v>394</v>
      </c>
      <c r="B21" s="8" t="s">
        <v>395</v>
      </c>
      <c r="C21" s="8" t="s">
        <v>396</v>
      </c>
      <c r="D21" s="8" t="s">
        <v>337</v>
      </c>
      <c r="E21" s="8" t="s">
        <v>386</v>
      </c>
      <c r="F21" s="8" t="s">
        <v>397</v>
      </c>
      <c r="G21" s="8" t="s">
        <v>347</v>
      </c>
      <c r="H21" s="8" t="s">
        <v>298</v>
      </c>
      <c r="I21" s="8" t="s">
        <v>29</v>
      </c>
      <c r="J21" s="8"/>
      <c r="K21" s="8"/>
      <c r="L21" s="8"/>
      <c r="M21" s="8"/>
      <c r="N21" s="8"/>
      <c r="O21" s="8"/>
      <c r="P21" s="8"/>
    </row>
    <row r="22" spans="1:16" ht="20.100000000000001" customHeight="1" x14ac:dyDescent="0.25">
      <c r="A22" s="5" t="s">
        <v>398</v>
      </c>
      <c r="B22" s="5" t="s">
        <v>399</v>
      </c>
      <c r="C22" s="5" t="s">
        <v>350</v>
      </c>
      <c r="D22" s="5" t="s">
        <v>337</v>
      </c>
      <c r="E22" s="5" t="s">
        <v>386</v>
      </c>
      <c r="F22" s="5" t="s">
        <v>400</v>
      </c>
      <c r="G22" s="5" t="s">
        <v>31</v>
      </c>
      <c r="H22" s="5" t="s">
        <v>298</v>
      </c>
      <c r="I22" s="5" t="s">
        <v>29</v>
      </c>
      <c r="J22" s="5"/>
      <c r="K22" s="5"/>
      <c r="L22" s="5"/>
      <c r="M22" s="5"/>
      <c r="N22" s="5"/>
      <c r="O22" s="5"/>
      <c r="P22" s="5"/>
    </row>
    <row r="23" spans="1:16" ht="20.100000000000001" customHeight="1" x14ac:dyDescent="0.25">
      <c r="A23" s="8" t="s">
        <v>401</v>
      </c>
      <c r="B23" s="8" t="s">
        <v>402</v>
      </c>
      <c r="C23" s="8" t="s">
        <v>403</v>
      </c>
      <c r="D23" s="8" t="s">
        <v>337</v>
      </c>
      <c r="E23" s="8" t="s">
        <v>386</v>
      </c>
      <c r="F23" s="8" t="s">
        <v>404</v>
      </c>
      <c r="G23" s="8" t="s">
        <v>347</v>
      </c>
      <c r="H23" s="11" t="s">
        <v>311</v>
      </c>
      <c r="I23" s="8" t="s">
        <v>29</v>
      </c>
      <c r="J23" s="8"/>
      <c r="K23" s="8"/>
      <c r="L23" s="8"/>
      <c r="M23" s="8"/>
      <c r="N23" s="8"/>
      <c r="O23" s="8"/>
      <c r="P23" s="8"/>
    </row>
    <row r="24" spans="1:16" ht="20.100000000000001" customHeight="1" x14ac:dyDescent="0.25">
      <c r="A24" s="5" t="s">
        <v>405</v>
      </c>
      <c r="B24" s="5" t="s">
        <v>406</v>
      </c>
      <c r="C24" s="5" t="s">
        <v>407</v>
      </c>
      <c r="D24" s="5" t="s">
        <v>408</v>
      </c>
      <c r="E24" s="5" t="s">
        <v>386</v>
      </c>
      <c r="F24" s="5" t="s">
        <v>409</v>
      </c>
      <c r="G24" s="5" t="s">
        <v>347</v>
      </c>
      <c r="H24" s="11" t="s">
        <v>311</v>
      </c>
      <c r="I24" s="5" t="s">
        <v>29</v>
      </c>
      <c r="J24" s="5"/>
      <c r="K24" s="5"/>
      <c r="L24" s="5"/>
      <c r="M24" s="5"/>
      <c r="N24" s="5"/>
      <c r="O24" s="5"/>
      <c r="P24" s="5"/>
    </row>
    <row r="25" spans="1:16" ht="20.100000000000001" customHeight="1" x14ac:dyDescent="0.25">
      <c r="A25" s="8" t="s">
        <v>410</v>
      </c>
      <c r="B25" s="8" t="s">
        <v>411</v>
      </c>
      <c r="C25" s="8" t="s">
        <v>407</v>
      </c>
      <c r="D25" s="8" t="s">
        <v>408</v>
      </c>
      <c r="E25" s="8" t="s">
        <v>386</v>
      </c>
      <c r="F25" s="8" t="s">
        <v>409</v>
      </c>
      <c r="G25" s="8" t="s">
        <v>347</v>
      </c>
      <c r="H25" s="11" t="s">
        <v>311</v>
      </c>
      <c r="I25" s="8" t="s">
        <v>29</v>
      </c>
      <c r="J25" s="8"/>
      <c r="K25" s="8"/>
      <c r="L25" s="8"/>
      <c r="M25" s="8"/>
      <c r="N25" s="8"/>
      <c r="O25" s="8"/>
      <c r="P25" s="8"/>
    </row>
    <row r="26" spans="1:16" ht="20.100000000000001" customHeight="1" x14ac:dyDescent="0.25">
      <c r="A26" s="5" t="s">
        <v>412</v>
      </c>
      <c r="B26" s="5" t="s">
        <v>413</v>
      </c>
      <c r="C26" s="5" t="s">
        <v>396</v>
      </c>
      <c r="D26" s="5" t="s">
        <v>337</v>
      </c>
      <c r="E26" s="5" t="s">
        <v>386</v>
      </c>
      <c r="F26" s="5" t="s">
        <v>414</v>
      </c>
      <c r="G26" s="5" t="s">
        <v>347</v>
      </c>
      <c r="H26" s="5" t="s">
        <v>298</v>
      </c>
      <c r="I26" s="5" t="s">
        <v>29</v>
      </c>
      <c r="J26" s="5"/>
      <c r="K26" s="5"/>
      <c r="L26" s="5"/>
      <c r="M26" s="5"/>
      <c r="N26" s="5"/>
      <c r="O26" s="5"/>
      <c r="P26" s="5"/>
    </row>
    <row r="27" spans="1:16" ht="20.100000000000001" customHeight="1" x14ac:dyDescent="0.25">
      <c r="A27" s="8" t="s">
        <v>415</v>
      </c>
      <c r="B27" s="8" t="s">
        <v>416</v>
      </c>
      <c r="C27" s="8" t="s">
        <v>396</v>
      </c>
      <c r="D27" s="8" t="s">
        <v>337</v>
      </c>
      <c r="E27" s="8" t="s">
        <v>386</v>
      </c>
      <c r="F27" s="8" t="s">
        <v>417</v>
      </c>
      <c r="G27" s="8" t="s">
        <v>347</v>
      </c>
      <c r="H27" s="8" t="s">
        <v>298</v>
      </c>
      <c r="I27" s="8" t="s">
        <v>29</v>
      </c>
      <c r="J27" s="8"/>
      <c r="K27" s="8"/>
      <c r="L27" s="8"/>
      <c r="M27" s="8"/>
      <c r="N27" s="8"/>
      <c r="O27" s="8"/>
      <c r="P27" s="8"/>
    </row>
    <row r="28" spans="1:16" ht="20.100000000000001" customHeight="1" x14ac:dyDescent="0.25">
      <c r="A28" s="5" t="s">
        <v>418</v>
      </c>
      <c r="B28" s="5" t="s">
        <v>419</v>
      </c>
      <c r="C28" s="5" t="s">
        <v>420</v>
      </c>
      <c r="D28" s="5" t="s">
        <v>337</v>
      </c>
      <c r="E28" s="5" t="s">
        <v>386</v>
      </c>
      <c r="F28" s="5" t="s">
        <v>417</v>
      </c>
      <c r="G28" s="5" t="s">
        <v>347</v>
      </c>
      <c r="H28" s="5" t="s">
        <v>298</v>
      </c>
      <c r="I28" s="5" t="s">
        <v>29</v>
      </c>
      <c r="J28" s="5"/>
      <c r="K28" s="5"/>
      <c r="L28" s="5"/>
      <c r="M28" s="5"/>
      <c r="N28" s="5"/>
      <c r="O28" s="5"/>
      <c r="P28" s="5"/>
    </row>
    <row r="29" spans="1:16" ht="20.100000000000001" customHeight="1" x14ac:dyDescent="0.25">
      <c r="A29" s="8" t="s">
        <v>421</v>
      </c>
      <c r="B29" s="8" t="s">
        <v>422</v>
      </c>
      <c r="C29" s="8" t="s">
        <v>420</v>
      </c>
      <c r="D29" s="8" t="s">
        <v>337</v>
      </c>
      <c r="E29" s="8" t="s">
        <v>386</v>
      </c>
      <c r="F29" s="8" t="s">
        <v>417</v>
      </c>
      <c r="G29" s="8" t="s">
        <v>347</v>
      </c>
      <c r="H29" s="8" t="s">
        <v>298</v>
      </c>
      <c r="I29" s="8" t="s">
        <v>29</v>
      </c>
      <c r="J29" s="8"/>
      <c r="K29" s="8"/>
      <c r="L29" s="8"/>
      <c r="M29" s="8"/>
      <c r="N29" s="8"/>
      <c r="O29" s="8"/>
      <c r="P29" s="8"/>
    </row>
    <row r="30" spans="1:16" ht="20.100000000000001" customHeight="1" x14ac:dyDescent="0.25">
      <c r="A30" s="5" t="s">
        <v>423</v>
      </c>
      <c r="B30" s="5" t="s">
        <v>424</v>
      </c>
      <c r="C30" s="5" t="s">
        <v>407</v>
      </c>
      <c r="D30" s="5" t="s">
        <v>408</v>
      </c>
      <c r="E30" s="5" t="s">
        <v>386</v>
      </c>
      <c r="F30" s="5" t="s">
        <v>425</v>
      </c>
      <c r="G30" s="5" t="s">
        <v>347</v>
      </c>
      <c r="H30" s="11" t="s">
        <v>311</v>
      </c>
      <c r="I30" s="10" t="s">
        <v>30</v>
      </c>
      <c r="J30" s="5"/>
      <c r="K30" s="5"/>
      <c r="L30" s="5"/>
      <c r="M30" s="5"/>
      <c r="N30" s="5"/>
      <c r="O30" s="5"/>
      <c r="P30" s="5"/>
    </row>
    <row r="31" spans="1:16" ht="20.100000000000001" customHeight="1" x14ac:dyDescent="0.25">
      <c r="A31" s="12" t="s">
        <v>426</v>
      </c>
      <c r="B31" s="12" t="s">
        <v>427</v>
      </c>
      <c r="C31" s="12" t="s">
        <v>336</v>
      </c>
      <c r="D31" s="12" t="s">
        <v>331</v>
      </c>
      <c r="E31" s="12" t="s">
        <v>386</v>
      </c>
      <c r="F31" s="12" t="s">
        <v>428</v>
      </c>
      <c r="G31" s="12" t="s">
        <v>31</v>
      </c>
      <c r="H31" s="12" t="s">
        <v>298</v>
      </c>
      <c r="I31" s="10" t="s">
        <v>30</v>
      </c>
      <c r="J31" s="12"/>
      <c r="K31" s="12"/>
      <c r="L31" s="12"/>
      <c r="M31" s="12"/>
      <c r="N31" s="12"/>
      <c r="O31" s="12"/>
      <c r="P31" s="12"/>
    </row>
    <row r="32" spans="1:16" ht="20.100000000000001" customHeight="1" x14ac:dyDescent="0.25">
      <c r="A32" s="5" t="s">
        <v>429</v>
      </c>
      <c r="B32" s="5" t="s">
        <v>430</v>
      </c>
      <c r="C32" s="5" t="s">
        <v>431</v>
      </c>
      <c r="D32" s="5" t="s">
        <v>432</v>
      </c>
      <c r="E32" s="5" t="s">
        <v>386</v>
      </c>
      <c r="F32" s="5" t="s">
        <v>433</v>
      </c>
      <c r="G32" s="5" t="s">
        <v>347</v>
      </c>
      <c r="H32" s="5" t="s">
        <v>298</v>
      </c>
      <c r="I32" s="10" t="s">
        <v>30</v>
      </c>
      <c r="J32" s="5"/>
      <c r="K32" s="5"/>
      <c r="L32" s="5"/>
      <c r="M32" s="5"/>
      <c r="N32" s="5"/>
      <c r="O32" s="5"/>
      <c r="P32" s="5"/>
    </row>
    <row r="33" spans="1:16" ht="20.100000000000001" customHeight="1" x14ac:dyDescent="0.25">
      <c r="A33" s="8" t="s">
        <v>434</v>
      </c>
      <c r="B33" s="8" t="s">
        <v>435</v>
      </c>
      <c r="C33" s="8" t="s">
        <v>407</v>
      </c>
      <c r="D33" s="8" t="s">
        <v>408</v>
      </c>
      <c r="E33" s="8" t="s">
        <v>386</v>
      </c>
      <c r="F33" s="8" t="s">
        <v>436</v>
      </c>
      <c r="G33" s="8" t="s">
        <v>347</v>
      </c>
      <c r="H33" s="11" t="s">
        <v>311</v>
      </c>
      <c r="I33" s="10" t="s">
        <v>30</v>
      </c>
      <c r="J33" s="8"/>
      <c r="K33" s="8"/>
      <c r="L33" s="8"/>
      <c r="M33" s="8"/>
      <c r="N33" s="8"/>
      <c r="O33" s="8"/>
      <c r="P33" s="8"/>
    </row>
    <row r="34" spans="1:16" ht="20.100000000000001" customHeight="1" x14ac:dyDescent="0.25">
      <c r="A34" s="5" t="s">
        <v>437</v>
      </c>
      <c r="B34" s="5" t="s">
        <v>438</v>
      </c>
      <c r="C34" s="5" t="s">
        <v>439</v>
      </c>
      <c r="D34" s="5" t="s">
        <v>331</v>
      </c>
      <c r="E34" s="5" t="s">
        <v>440</v>
      </c>
      <c r="F34" s="5" t="s">
        <v>441</v>
      </c>
      <c r="G34" s="5" t="s">
        <v>442</v>
      </c>
      <c r="H34" s="5" t="s">
        <v>298</v>
      </c>
      <c r="I34" s="10" t="s">
        <v>30</v>
      </c>
      <c r="J34" s="5"/>
      <c r="K34" s="5"/>
      <c r="L34" s="5"/>
      <c r="M34" s="5"/>
      <c r="N34" s="5"/>
      <c r="O34" s="5"/>
      <c r="P34" s="5"/>
    </row>
    <row r="35" spans="1:16" ht="20.100000000000001" customHeight="1" x14ac:dyDescent="0.25">
      <c r="A35" s="8" t="s">
        <v>106</v>
      </c>
      <c r="B35" s="8" t="s">
        <v>443</v>
      </c>
      <c r="C35" s="8" t="s">
        <v>403</v>
      </c>
      <c r="D35" s="8" t="s">
        <v>408</v>
      </c>
      <c r="E35" s="8" t="s">
        <v>440</v>
      </c>
      <c r="F35" s="8" t="s">
        <v>194</v>
      </c>
      <c r="G35" s="8" t="s">
        <v>347</v>
      </c>
      <c r="H35" s="11" t="s">
        <v>311</v>
      </c>
      <c r="I35" s="10" t="s">
        <v>30</v>
      </c>
      <c r="J35" s="8"/>
      <c r="K35" s="8"/>
      <c r="L35" s="8"/>
      <c r="M35" s="8"/>
      <c r="N35" s="6" t="s">
        <v>444</v>
      </c>
      <c r="O35" s="8"/>
      <c r="P35" s="8"/>
    </row>
    <row r="36" spans="1:16" ht="18" customHeight="1" x14ac:dyDescent="0.25">
      <c r="A36" s="13" t="s">
        <v>445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ht="18" customHeight="1" x14ac:dyDescent="0.25">
      <c r="A37" s="13" t="s">
        <v>446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</row>
    <row r="38" spans="1:16" ht="18" customHeight="1" x14ac:dyDescent="0.25">
      <c r="A38" s="13" t="s">
        <v>447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ht="18" customHeight="1" x14ac:dyDescent="0.25">
      <c r="A39" s="13" t="s">
        <v>448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ht="18" customHeight="1" x14ac:dyDescent="0.25">
      <c r="A40" s="13" t="s">
        <v>449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</row>
    <row r="41" spans="1:16" ht="18" customHeight="1" x14ac:dyDescent="0.25">
      <c r="A41" s="13" t="s">
        <v>450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</row>
    <row r="42" spans="1:16" ht="18" customHeight="1" x14ac:dyDescent="0.25">
      <c r="A42" s="13" t="s">
        <v>451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ht="18" customHeight="1" x14ac:dyDescent="0.25">
      <c r="A43" s="13" t="s">
        <v>452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</row>
    <row r="44" spans="1:16" ht="18" customHeight="1" x14ac:dyDescent="0.25">
      <c r="A44" s="13" t="s">
        <v>453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</sheetData>
  <mergeCells count="2">
    <mergeCell ref="A1:P1"/>
    <mergeCell ref="A2:P2"/>
  </mergeCells>
  <conditionalFormatting sqref="M5:M44">
    <cfRule type="expression" dxfId="11" priority="1">
      <formula>AND(M5&lt;&gt;"",M5&lt;TODAY()+30)</formula>
    </cfRule>
  </conditionalFormatting>
  <dataValidations count="1">
    <dataValidation type="list" allowBlank="1" sqref="I5:I44" xr:uid="{00000000-0002-0000-0300-000000000000}">
      <formula1>"Full Time,Probation,On Leave,Terminated,Transferred"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6B3A"/>
  </sheetPr>
  <dimension ref="A1:L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G20" sqref="G20"/>
    </sheetView>
  </sheetViews>
  <sheetFormatPr defaultRowHeight="15" x14ac:dyDescent="0.25"/>
  <cols>
    <col min="1" max="1" width="14" customWidth="1"/>
    <col min="2" max="2" width="26" customWidth="1"/>
    <col min="3" max="3" width="28" customWidth="1"/>
    <col min="4" max="4" width="18" customWidth="1"/>
    <col min="5" max="5" width="8" customWidth="1"/>
    <col min="6" max="6" width="14" customWidth="1"/>
    <col min="7" max="7" width="22" customWidth="1"/>
    <col min="8" max="8" width="16" customWidth="1"/>
    <col min="9" max="9" width="28" customWidth="1"/>
    <col min="10" max="10" width="20" customWidth="1"/>
    <col min="11" max="11" width="32" customWidth="1"/>
  </cols>
  <sheetData>
    <row r="1" spans="1:12" ht="27.95" customHeight="1" x14ac:dyDescent="0.25">
      <c r="A1" s="89" t="s">
        <v>454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15.95" customHeight="1" x14ac:dyDescent="0.25">
      <c r="A2" s="94" t="s">
        <v>455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8.1" customHeight="1" x14ac:dyDescent="0.25"/>
    <row r="4" spans="1:12" ht="27.95" customHeight="1" x14ac:dyDescent="0.25">
      <c r="A4" s="15" t="s">
        <v>317</v>
      </c>
      <c r="B4" s="15" t="s">
        <v>318</v>
      </c>
      <c r="C4" s="15" t="s">
        <v>456</v>
      </c>
      <c r="D4" s="15" t="s">
        <v>320</v>
      </c>
      <c r="E4" s="15" t="s">
        <v>321</v>
      </c>
      <c r="F4" s="15" t="s">
        <v>46</v>
      </c>
      <c r="G4" s="15" t="s">
        <v>117</v>
      </c>
      <c r="H4" s="15" t="s">
        <v>457</v>
      </c>
      <c r="I4" s="15" t="s">
        <v>458</v>
      </c>
      <c r="J4" s="15" t="s">
        <v>459</v>
      </c>
      <c r="K4" s="15" t="s">
        <v>47</v>
      </c>
    </row>
    <row r="5" spans="1:12" x14ac:dyDescent="0.25">
      <c r="A5" s="5" t="s">
        <v>343</v>
      </c>
      <c r="B5" s="5" t="s">
        <v>344</v>
      </c>
      <c r="C5" s="5" t="s">
        <v>345</v>
      </c>
      <c r="D5" s="5" t="s">
        <v>337</v>
      </c>
      <c r="E5" s="5" t="s">
        <v>338</v>
      </c>
      <c r="F5" s="5" t="s">
        <v>29</v>
      </c>
      <c r="G5" s="5"/>
      <c r="H5" s="5"/>
      <c r="I5" s="5" t="s">
        <v>460</v>
      </c>
      <c r="J5" s="5"/>
    </row>
    <row r="6" spans="1:12" x14ac:dyDescent="0.25">
      <c r="A6" s="4" t="s">
        <v>354</v>
      </c>
      <c r="B6" s="4" t="s">
        <v>355</v>
      </c>
      <c r="C6" s="4" t="s">
        <v>356</v>
      </c>
      <c r="D6" s="4" t="s">
        <v>357</v>
      </c>
      <c r="E6" s="4" t="s">
        <v>358</v>
      </c>
      <c r="F6" s="4" t="s">
        <v>29</v>
      </c>
      <c r="G6" s="4" t="s">
        <v>108</v>
      </c>
      <c r="H6" s="4" t="s">
        <v>170</v>
      </c>
      <c r="I6" s="4" t="s">
        <v>461</v>
      </c>
      <c r="J6" s="4"/>
    </row>
    <row r="7" spans="1:12" x14ac:dyDescent="0.25">
      <c r="A7" s="5" t="s">
        <v>401</v>
      </c>
      <c r="B7" s="5" t="s">
        <v>402</v>
      </c>
      <c r="C7" s="5" t="s">
        <v>403</v>
      </c>
      <c r="D7" s="5" t="s">
        <v>337</v>
      </c>
      <c r="E7" s="5" t="s">
        <v>386</v>
      </c>
      <c r="F7" s="5" t="s">
        <v>29</v>
      </c>
      <c r="G7" s="5"/>
      <c r="H7" s="5"/>
      <c r="I7" s="5"/>
      <c r="J7" s="5"/>
    </row>
    <row r="8" spans="1:12" x14ac:dyDescent="0.25">
      <c r="A8" s="4" t="s">
        <v>405</v>
      </c>
      <c r="B8" s="4" t="s">
        <v>406</v>
      </c>
      <c r="C8" s="4" t="s">
        <v>407</v>
      </c>
      <c r="D8" s="4" t="s">
        <v>408</v>
      </c>
      <c r="E8" s="4" t="s">
        <v>386</v>
      </c>
      <c r="F8" s="4" t="s">
        <v>29</v>
      </c>
      <c r="G8" s="4"/>
      <c r="H8" s="4"/>
      <c r="I8" s="4"/>
      <c r="J8" s="4"/>
    </row>
    <row r="9" spans="1:12" x14ac:dyDescent="0.25">
      <c r="A9" s="5" t="s">
        <v>410</v>
      </c>
      <c r="B9" s="5" t="s">
        <v>411</v>
      </c>
      <c r="C9" s="5" t="s">
        <v>407</v>
      </c>
      <c r="D9" s="5" t="s">
        <v>408</v>
      </c>
      <c r="E9" s="5" t="s">
        <v>386</v>
      </c>
      <c r="F9" s="5" t="s">
        <v>29</v>
      </c>
      <c r="G9" s="5"/>
      <c r="H9" s="5"/>
      <c r="I9" s="5"/>
      <c r="J9" s="5"/>
    </row>
    <row r="10" spans="1:12" x14ac:dyDescent="0.25">
      <c r="A10" s="4" t="s">
        <v>423</v>
      </c>
      <c r="B10" s="4" t="s">
        <v>424</v>
      </c>
      <c r="C10" s="4" t="s">
        <v>407</v>
      </c>
      <c r="D10" s="4" t="s">
        <v>408</v>
      </c>
      <c r="E10" s="4" t="s">
        <v>386</v>
      </c>
      <c r="F10" s="10" t="s">
        <v>30</v>
      </c>
      <c r="G10" s="4"/>
      <c r="H10" s="4"/>
      <c r="I10" s="4"/>
      <c r="J10" s="4"/>
    </row>
    <row r="11" spans="1:12" x14ac:dyDescent="0.25">
      <c r="A11" s="5" t="s">
        <v>434</v>
      </c>
      <c r="B11" s="5" t="s">
        <v>435</v>
      </c>
      <c r="C11" s="5" t="s">
        <v>407</v>
      </c>
      <c r="D11" s="5" t="s">
        <v>408</v>
      </c>
      <c r="E11" s="5" t="s">
        <v>386</v>
      </c>
      <c r="F11" s="10" t="s">
        <v>30</v>
      </c>
      <c r="G11" s="5"/>
      <c r="H11" s="5"/>
      <c r="I11" s="5"/>
      <c r="J11" s="5"/>
    </row>
    <row r="12" spans="1:12" ht="38.25" customHeight="1" x14ac:dyDescent="0.25">
      <c r="A12" s="4" t="s">
        <v>106</v>
      </c>
      <c r="B12" s="4" t="s">
        <v>443</v>
      </c>
      <c r="C12" s="4" t="s">
        <v>403</v>
      </c>
      <c r="D12" s="4" t="s">
        <v>408</v>
      </c>
      <c r="E12" s="4" t="s">
        <v>440</v>
      </c>
      <c r="F12" s="10" t="s">
        <v>30</v>
      </c>
      <c r="G12" s="4"/>
      <c r="H12" s="4"/>
      <c r="I12" s="4"/>
      <c r="J12" s="4" t="s">
        <v>462</v>
      </c>
    </row>
    <row r="13" spans="1:12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2" ht="20.100000000000001" customHeight="1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2" ht="20.100000000000001" customHeight="1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2" ht="20.100000000000001" customHeight="1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</row>
  </sheetData>
  <mergeCells count="2">
    <mergeCell ref="A2:L2"/>
    <mergeCell ref="A1:L1"/>
  </mergeCells>
  <dataValidations count="1">
    <dataValidation type="list" allowBlank="1" sqref="F5:F20" xr:uid="{00000000-0002-0000-0400-000000000000}">
      <formula1>"Full Time,Probation,On Leave,Work Permit Pending,Transferred"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4A00"/>
  </sheetPr>
  <dimension ref="A1:N201"/>
  <sheetViews>
    <sheetView showGridLines="0" workbookViewId="0">
      <pane ySplit="7" topLeftCell="A8" activePane="bottomLeft" state="frozen"/>
      <selection pane="bottomLeft" activeCell="E15" sqref="E15"/>
    </sheetView>
  </sheetViews>
  <sheetFormatPr defaultRowHeight="15" x14ac:dyDescent="0.25"/>
  <cols>
    <col min="1" max="1" width="12" customWidth="1"/>
    <col min="2" max="2" width="10" customWidth="1"/>
    <col min="3" max="3" width="14" customWidth="1"/>
    <col min="4" max="5" width="20" customWidth="1"/>
    <col min="6" max="6" width="40" customWidth="1"/>
    <col min="7" max="7" width="10" customWidth="1"/>
    <col min="8" max="8" width="32" customWidth="1"/>
    <col min="9" max="9" width="8" customWidth="1"/>
    <col min="10" max="10" width="22" customWidth="1"/>
    <col min="11" max="11" width="12" customWidth="1"/>
    <col min="12" max="12" width="14" customWidth="1"/>
    <col min="13" max="13" width="16" customWidth="1"/>
    <col min="14" max="14" width="18" customWidth="1"/>
  </cols>
  <sheetData>
    <row r="1" spans="1:14" ht="27.95" customHeight="1" x14ac:dyDescent="0.25">
      <c r="A1" s="89" t="s">
        <v>463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15.95" customHeight="1" x14ac:dyDescent="0.25">
      <c r="A2" s="92" t="s">
        <v>464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21.95" customHeight="1" x14ac:dyDescent="0.25">
      <c r="A3" s="95" t="s">
        <v>465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 ht="21.95" customHeight="1" x14ac:dyDescent="0.25">
      <c r="A4" s="71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ht="21.95" customHeight="1" x14ac:dyDescent="0.2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</row>
    <row r="6" spans="1:14" x14ac:dyDescent="0.25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</row>
    <row r="7" spans="1:14" ht="30" customHeight="1" x14ac:dyDescent="0.25">
      <c r="A7" s="1" t="s">
        <v>466</v>
      </c>
      <c r="B7" s="1" t="s">
        <v>39</v>
      </c>
      <c r="C7" s="1" t="s">
        <v>467</v>
      </c>
      <c r="D7" s="1" t="s">
        <v>468</v>
      </c>
      <c r="E7" s="1" t="s">
        <v>469</v>
      </c>
      <c r="F7" s="1" t="s">
        <v>470</v>
      </c>
      <c r="G7" s="1" t="s">
        <v>44</v>
      </c>
      <c r="H7" s="1" t="s">
        <v>471</v>
      </c>
      <c r="I7" s="1" t="s">
        <v>472</v>
      </c>
      <c r="J7" s="1" t="s">
        <v>473</v>
      </c>
      <c r="K7" s="1" t="s">
        <v>474</v>
      </c>
      <c r="L7" s="1" t="s">
        <v>475</v>
      </c>
      <c r="M7" s="1" t="s">
        <v>476</v>
      </c>
      <c r="N7" s="1" t="s">
        <v>477</v>
      </c>
    </row>
    <row r="8" spans="1:14" ht="25.5" customHeight="1" x14ac:dyDescent="0.25">
      <c r="A8" s="16" t="s">
        <v>478</v>
      </c>
      <c r="B8" s="16" t="s">
        <v>479</v>
      </c>
      <c r="C8" s="16" t="s">
        <v>139</v>
      </c>
      <c r="D8" s="16" t="s">
        <v>133</v>
      </c>
      <c r="E8" s="16" t="s">
        <v>52</v>
      </c>
      <c r="F8" s="16" t="s">
        <v>480</v>
      </c>
      <c r="G8" s="2" t="s">
        <v>481</v>
      </c>
      <c r="H8" s="16" t="s">
        <v>482</v>
      </c>
      <c r="I8" s="16" t="s">
        <v>483</v>
      </c>
      <c r="J8" s="16" t="s">
        <v>194</v>
      </c>
      <c r="K8" s="16"/>
      <c r="L8" s="16"/>
      <c r="M8" s="16" t="s">
        <v>51</v>
      </c>
      <c r="N8" s="16"/>
    </row>
    <row r="9" spans="1:14" ht="25.5" customHeight="1" x14ac:dyDescent="0.25">
      <c r="A9" s="16" t="s">
        <v>478</v>
      </c>
      <c r="B9" s="16" t="s">
        <v>479</v>
      </c>
      <c r="C9" s="16" t="s">
        <v>167</v>
      </c>
      <c r="D9" s="16" t="s">
        <v>148</v>
      </c>
      <c r="E9" s="16" t="s">
        <v>89</v>
      </c>
      <c r="F9" s="16" t="s">
        <v>484</v>
      </c>
      <c r="G9" s="2" t="s">
        <v>481</v>
      </c>
      <c r="H9" s="16" t="s">
        <v>485</v>
      </c>
      <c r="I9" s="16" t="s">
        <v>486</v>
      </c>
      <c r="J9" s="16" t="s">
        <v>194</v>
      </c>
      <c r="K9" s="16"/>
      <c r="L9" s="16"/>
      <c r="M9" s="16" t="s">
        <v>487</v>
      </c>
      <c r="N9" s="16"/>
    </row>
    <row r="10" spans="1:14" ht="20.100000000000001" customHeight="1" x14ac:dyDescent="0.25">
      <c r="A10" s="66" t="s">
        <v>488</v>
      </c>
      <c r="B10" s="66" t="s">
        <v>489</v>
      </c>
      <c r="C10" s="66" t="s">
        <v>490</v>
      </c>
      <c r="D10" s="66" t="s">
        <v>491</v>
      </c>
      <c r="E10" s="66" t="s">
        <v>66</v>
      </c>
      <c r="F10" s="66" t="s">
        <v>492</v>
      </c>
      <c r="G10" s="66" t="s">
        <v>493</v>
      </c>
      <c r="H10" s="66"/>
      <c r="I10" s="66"/>
      <c r="J10" s="66"/>
      <c r="K10" s="66"/>
      <c r="L10" s="66"/>
      <c r="M10" s="66" t="s">
        <v>65</v>
      </c>
      <c r="N10" s="66" t="s">
        <v>311</v>
      </c>
    </row>
    <row r="11" spans="1:14" ht="20.100000000000001" customHeight="1" x14ac:dyDescent="0.25">
      <c r="A11" s="67" t="s">
        <v>494</v>
      </c>
      <c r="B11" s="67" t="s">
        <v>489</v>
      </c>
      <c r="C11" s="67" t="s">
        <v>490</v>
      </c>
      <c r="D11" s="67" t="s">
        <v>491</v>
      </c>
      <c r="E11" s="67" t="s">
        <v>66</v>
      </c>
      <c r="F11" s="67" t="s">
        <v>495</v>
      </c>
      <c r="G11" s="67" t="s">
        <v>496</v>
      </c>
      <c r="H11" s="67"/>
      <c r="I11" s="67"/>
      <c r="J11" s="67"/>
      <c r="K11" s="67"/>
      <c r="L11" s="67"/>
      <c r="M11" s="67" t="s">
        <v>65</v>
      </c>
      <c r="N11" s="67" t="s">
        <v>497</v>
      </c>
    </row>
    <row r="12" spans="1:14" ht="20.100000000000001" customHeight="1" x14ac:dyDescent="0.25">
      <c r="A12" s="66" t="s">
        <v>498</v>
      </c>
      <c r="B12" s="66" t="s">
        <v>499</v>
      </c>
      <c r="C12" s="66" t="s">
        <v>167</v>
      </c>
      <c r="D12" s="66" t="s">
        <v>148</v>
      </c>
      <c r="E12" s="66" t="s">
        <v>66</v>
      </c>
      <c r="F12" s="66" t="s">
        <v>500</v>
      </c>
      <c r="G12" s="66" t="s">
        <v>496</v>
      </c>
      <c r="H12" s="66" t="s">
        <v>501</v>
      </c>
      <c r="I12" s="66" t="s">
        <v>483</v>
      </c>
      <c r="J12" s="66"/>
      <c r="K12" s="66"/>
      <c r="L12" s="66"/>
      <c r="M12" s="66" t="s">
        <v>65</v>
      </c>
      <c r="N12" s="66" t="s">
        <v>311</v>
      </c>
    </row>
    <row r="13" spans="1:14" ht="20.100000000000001" customHeight="1" x14ac:dyDescent="0.25">
      <c r="A13" s="67" t="s">
        <v>155</v>
      </c>
      <c r="B13" s="67" t="s">
        <v>502</v>
      </c>
      <c r="C13" s="67" t="s">
        <v>162</v>
      </c>
      <c r="D13" s="67" t="s">
        <v>148</v>
      </c>
      <c r="E13" s="67" t="s">
        <v>66</v>
      </c>
      <c r="F13" s="67" t="s">
        <v>503</v>
      </c>
      <c r="G13" s="67" t="s">
        <v>481</v>
      </c>
      <c r="H13" s="67"/>
      <c r="I13" s="67"/>
      <c r="J13" s="67"/>
      <c r="K13" s="67"/>
      <c r="L13" s="67"/>
      <c r="M13" s="67" t="s">
        <v>58</v>
      </c>
      <c r="N13" s="67" t="s">
        <v>504</v>
      </c>
    </row>
    <row r="14" spans="1:14" ht="20.100000000000001" customHeight="1" x14ac:dyDescent="0.25">
      <c r="A14" s="66" t="s">
        <v>155</v>
      </c>
      <c r="B14" s="66" t="s">
        <v>502</v>
      </c>
      <c r="C14" s="66" t="s">
        <v>162</v>
      </c>
      <c r="D14" s="66" t="s">
        <v>148</v>
      </c>
      <c r="E14" s="66" t="s">
        <v>66</v>
      </c>
      <c r="F14" s="66" t="s">
        <v>505</v>
      </c>
      <c r="G14" s="66" t="s">
        <v>481</v>
      </c>
      <c r="H14" s="66" t="s">
        <v>506</v>
      </c>
      <c r="I14" s="66" t="s">
        <v>486</v>
      </c>
      <c r="J14" s="66"/>
      <c r="K14" s="66"/>
      <c r="L14" s="66"/>
      <c r="M14" s="66" t="s">
        <v>58</v>
      </c>
      <c r="N14" s="66" t="s">
        <v>507</v>
      </c>
    </row>
    <row r="15" spans="1:14" ht="20.100000000000001" customHeight="1" x14ac:dyDescent="0.25">
      <c r="A15" s="67" t="s">
        <v>155</v>
      </c>
      <c r="B15" s="67" t="s">
        <v>502</v>
      </c>
      <c r="C15" s="67" t="s">
        <v>156</v>
      </c>
      <c r="D15" s="67" t="s">
        <v>157</v>
      </c>
      <c r="E15" s="67" t="s">
        <v>52</v>
      </c>
      <c r="F15" s="67" t="s">
        <v>508</v>
      </c>
      <c r="G15" s="67" t="s">
        <v>481</v>
      </c>
      <c r="H15" s="67" t="s">
        <v>509</v>
      </c>
      <c r="I15" s="67" t="s">
        <v>510</v>
      </c>
      <c r="J15" s="67"/>
      <c r="K15" s="67"/>
      <c r="L15" s="67"/>
      <c r="M15" s="67" t="s">
        <v>58</v>
      </c>
      <c r="N15" s="67" t="s">
        <v>511</v>
      </c>
    </row>
    <row r="16" spans="1:14" ht="20.100000000000001" customHeight="1" x14ac:dyDescent="0.25">
      <c r="A16" s="66" t="s">
        <v>59</v>
      </c>
      <c r="B16" s="66" t="s">
        <v>499</v>
      </c>
      <c r="C16" s="66" t="s">
        <v>512</v>
      </c>
      <c r="D16" s="66" t="s">
        <v>513</v>
      </c>
      <c r="E16" s="66" t="s">
        <v>514</v>
      </c>
      <c r="F16" s="66" t="s">
        <v>515</v>
      </c>
      <c r="G16" s="66" t="s">
        <v>481</v>
      </c>
      <c r="H16" s="66" t="s">
        <v>516</v>
      </c>
      <c r="I16" s="66" t="s">
        <v>517</v>
      </c>
      <c r="J16" s="66"/>
      <c r="K16" s="66"/>
      <c r="L16" s="66"/>
      <c r="M16" s="66" t="s">
        <v>65</v>
      </c>
      <c r="N16" s="66" t="s">
        <v>518</v>
      </c>
    </row>
    <row r="17" spans="1:14" ht="20.100000000000001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spans="1:14" ht="20.100000000000001" customHeight="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20.100000000000001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20.100000000000001" customHeight="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20.100000000000001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ht="20.100000000000001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20.100000000000001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20.100000000000001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 spans="1:14" ht="20.100000000000001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</row>
    <row r="26" spans="1:14" ht="20.100000000000001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</row>
    <row r="27" spans="1:14" ht="20.100000000000001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spans="1:14" ht="20.100000000000001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 spans="1:14" ht="20.10000000000000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 ht="20.100000000000001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 spans="1:14" ht="20.100000000000001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 ht="20.100000000000001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 spans="1:14" ht="20.100000000000001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spans="1:14" ht="20.100000000000001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14" ht="20.100000000000001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spans="1:14" ht="20.100000000000001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14" ht="20.100000000000001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</row>
    <row r="38" spans="1:14" ht="20.100000000000001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spans="1:14" ht="20.100000000000001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20.100000000000001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</row>
    <row r="41" spans="1:14" ht="20.100000000000001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20.100000000000001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</row>
    <row r="43" spans="1:14" ht="20.100000000000001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20.100000000000001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spans="1:14" ht="20.100000000000001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20.100000000000001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</row>
    <row r="47" spans="1:14" ht="20.100000000000001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</row>
    <row r="48" spans="1:14" ht="20.100000000000001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14" ht="20.100000000000001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ht="20.100000000000001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</row>
    <row r="51" spans="1:14" ht="20.100000000000001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ht="20.100000000000001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</row>
    <row r="53" spans="1:14" ht="20.100000000000001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spans="1:14" ht="20.100000000000001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20.100000000000001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 spans="1:14" ht="20.100000000000001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</row>
    <row r="57" spans="1:14" ht="20.100000000000001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 spans="1:14" ht="20.100000000000001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20.100000000000001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spans="1:14" ht="20.100000000000001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</row>
    <row r="61" spans="1:14" ht="20.100000000000001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</row>
    <row r="62" spans="1:14" ht="20.100000000000001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20.100000000000001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</row>
    <row r="64" spans="1:14" ht="20.100000000000001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</row>
    <row r="65" spans="1:14" ht="20.100000000000001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20.100000000000001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</row>
    <row r="67" spans="1:14" ht="20.100000000000001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</row>
    <row r="68" spans="1:14" ht="20.100000000000001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</row>
    <row r="69" spans="1:14" ht="20.100000000000001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spans="1:14" ht="20.100000000000001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</row>
    <row r="71" spans="1:14" ht="20.100000000000001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spans="1:14" ht="20.100000000000001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14" ht="20.100000000000001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spans="1:14" ht="20.100000000000001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</row>
    <row r="75" spans="1:14" ht="20.100000000000001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</row>
    <row r="76" spans="1:14" ht="20.100000000000001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</row>
    <row r="77" spans="1:14" ht="20.100000000000001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spans="1:14" ht="20.100000000000001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</row>
    <row r="79" spans="1:14" ht="20.100000000000001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spans="1:14" ht="20.100000000000001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</row>
    <row r="81" spans="1:14" ht="20.100000000000001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</row>
    <row r="82" spans="1:14" ht="20.100000000000001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</row>
    <row r="83" spans="1:14" ht="20.100000000000001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</row>
    <row r="84" spans="1:14" ht="20.100000000000001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</row>
    <row r="85" spans="1:14" ht="20.100000000000001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</row>
    <row r="86" spans="1:14" ht="20.100000000000001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spans="1:14" ht="20.100000000000001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</row>
    <row r="88" spans="1:14" ht="20.100000000000001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</row>
    <row r="89" spans="1:14" ht="20.100000000000001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 spans="1:14" ht="20.100000000000001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</row>
    <row r="91" spans="1:14" ht="20.100000000000001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</row>
    <row r="92" spans="1:14" ht="20.100000000000001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</row>
    <row r="93" spans="1:14" ht="20.100000000000001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 spans="1:14" ht="20.100000000000001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</row>
    <row r="95" spans="1:14" ht="20.100000000000001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</row>
    <row r="96" spans="1:14" ht="20.100000000000001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</row>
    <row r="97" spans="1:14" ht="20.100000000000001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</row>
    <row r="98" spans="1:14" ht="20.100000000000001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</row>
    <row r="99" spans="1:14" ht="20.100000000000001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</row>
    <row r="100" spans="1:14" ht="20.100000000000001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</row>
    <row r="101" spans="1:14" ht="20.100000000000001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</row>
    <row r="102" spans="1:14" ht="20.100000000000001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</row>
    <row r="103" spans="1:14" ht="20.100000000000001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</row>
    <row r="104" spans="1:14" ht="20.100000000000001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</row>
    <row r="105" spans="1:14" ht="20.100000000000001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</row>
    <row r="106" spans="1:14" ht="20.100000000000001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</row>
    <row r="107" spans="1:14" ht="20.100000000000001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</row>
    <row r="108" spans="1:14" ht="20.100000000000001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</row>
    <row r="109" spans="1:14" ht="20.100000000000001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</row>
    <row r="110" spans="1:14" ht="20.100000000000001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</row>
    <row r="111" spans="1:14" ht="20.100000000000001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</row>
    <row r="112" spans="1:14" ht="20.100000000000001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</row>
    <row r="113" spans="1:14" ht="20.100000000000001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 spans="1:14" ht="20.100000000000001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</row>
    <row r="115" spans="1:14" ht="20.100000000000001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 spans="1:14" ht="20.100000000000001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</row>
    <row r="117" spans="1:14" ht="20.100000000000001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 spans="1:14" ht="20.100000000000001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</row>
    <row r="119" spans="1:14" ht="20.100000000000001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 spans="1:14" ht="20.100000000000001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</row>
    <row r="121" spans="1:14" ht="20.100000000000001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 spans="1:14" ht="20.100000000000001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</row>
    <row r="123" spans="1:14" ht="20.100000000000001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 spans="1:14" ht="20.100000000000001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</row>
    <row r="125" spans="1:14" ht="20.100000000000001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 spans="1:14" ht="20.100000000000001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ht="20.100000000000001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 spans="1:14" ht="20.100000000000001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</row>
    <row r="129" spans="1:14" ht="20.100000000000001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 spans="1:14" ht="20.100000000000001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</row>
    <row r="131" spans="1:14" ht="20.100000000000001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 spans="1:14" ht="20.100000000000001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</row>
    <row r="133" spans="1:14" ht="20.100000000000001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 spans="1:14" ht="20.100000000000001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</row>
    <row r="135" spans="1:14" ht="20.100000000000001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 spans="1:14" ht="20.100000000000001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 spans="1:14" ht="20.100000000000001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 spans="1:14" ht="20.100000000000001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</row>
    <row r="139" spans="1:14" ht="20.100000000000001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 spans="1:14" ht="20.100000000000001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</row>
    <row r="141" spans="1:14" ht="20.100000000000001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 spans="1:14" ht="20.100000000000001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</row>
    <row r="143" spans="1:14" ht="20.100000000000001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 spans="1:14" ht="20.100000000000001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</row>
    <row r="145" spans="1:14" ht="20.100000000000001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 spans="1:14" ht="20.100000000000001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</row>
    <row r="147" spans="1:14" ht="20.100000000000001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 spans="1:14" ht="20.100000000000001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</row>
    <row r="149" spans="1:14" ht="20.100000000000001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 spans="1:14" ht="20.100000000000001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</row>
    <row r="151" spans="1:14" ht="20.100000000000001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 spans="1:14" ht="20.100000000000001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</row>
    <row r="153" spans="1:14" ht="20.100000000000001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 spans="1:14" ht="20.100000000000001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</row>
    <row r="155" spans="1:14" ht="20.100000000000001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 spans="1:14" ht="20.100000000000001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 spans="1:14" ht="20.100000000000001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 spans="1:14" ht="20.100000000000001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</row>
    <row r="159" spans="1:14" ht="20.100000000000001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 spans="1:14" ht="20.100000000000001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</row>
    <row r="161" spans="1:14" ht="20.100000000000001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 spans="1:14" ht="20.100000000000001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</row>
    <row r="163" spans="1:14" ht="20.100000000000001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 spans="1:14" ht="20.100000000000001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</row>
    <row r="165" spans="1:14" ht="20.100000000000001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 spans="1:14" ht="20.100000000000001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</row>
    <row r="167" spans="1:14" ht="20.100000000000001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 spans="1:14" ht="20.100000000000001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</row>
    <row r="169" spans="1:14" ht="20.100000000000001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 spans="1:14" ht="20.100000000000001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</row>
    <row r="171" spans="1:14" ht="20.100000000000001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 spans="1:14" ht="20.100000000000001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</row>
    <row r="173" spans="1:14" ht="20.100000000000001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 spans="1:14" ht="20.100000000000001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</row>
    <row r="175" spans="1:14" ht="20.100000000000001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 spans="1:14" ht="20.100000000000001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</row>
    <row r="177" spans="1:14" ht="20.100000000000001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 spans="1:14" ht="20.100000000000001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</row>
    <row r="179" spans="1:14" ht="20.100000000000001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 spans="1:14" ht="20.100000000000001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</row>
    <row r="181" spans="1:14" ht="20.100000000000001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 spans="1:14" ht="20.100000000000001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</row>
    <row r="183" spans="1:14" ht="20.100000000000001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 spans="1:14" ht="20.100000000000001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</row>
    <row r="185" spans="1:14" ht="20.100000000000001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 spans="1:14" ht="20.100000000000001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</row>
    <row r="187" spans="1:14" ht="20.100000000000001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 spans="1:14" ht="20.100000000000001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</row>
    <row r="189" spans="1:14" ht="20.100000000000001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 spans="1:14" ht="20.100000000000001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</row>
    <row r="191" spans="1:14" ht="20.100000000000001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 spans="1:14" ht="20.100000000000001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</row>
    <row r="193" spans="1:14" ht="20.100000000000001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 spans="1:14" ht="20.100000000000001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</row>
    <row r="195" spans="1:14" ht="20.100000000000001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 spans="1:14" ht="20.100000000000001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</row>
    <row r="197" spans="1:14" ht="20.100000000000001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 spans="1:14" ht="20.100000000000001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</row>
    <row r="199" spans="1:14" ht="20.100000000000001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 spans="1:14" ht="20.100000000000001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</row>
    <row r="201" spans="1:14" ht="20.100000000000001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</sheetData>
  <mergeCells count="3">
    <mergeCell ref="A3:N6"/>
    <mergeCell ref="A2:N2"/>
    <mergeCell ref="A1:N1"/>
  </mergeCells>
  <dataValidations count="3">
    <dataValidation type="list" allowBlank="1" sqref="B8:B201" xr:uid="{00000000-0002-0000-0500-000000000000}">
      <formula1>"VEH,PR,DEL,VSSL,STAFF,SITE,OTHER"</formula1>
    </dataValidation>
    <dataValidation type="list" allowBlank="1" sqref="G8:G201" xr:uid="{00000000-0002-0000-0500-000001000000}">
      <formula1>"CR,UR,RO,"</formula1>
    </dataValidation>
    <dataValidation type="list" allowBlank="1" sqref="N8:N201" xr:uid="{00000000-0002-0000-0500-000002000000}">
      <formula1>"Yes — PR raised,Yes — noted,Pending,Not required"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FA3"/>
  </sheetPr>
  <dimension ref="A1:P100"/>
  <sheetViews>
    <sheetView showGridLines="0" workbookViewId="0">
      <pane ySplit="5" topLeftCell="A6" activePane="bottomLeft" state="frozen"/>
      <selection pane="bottomLeft" activeCell="G13" sqref="G13"/>
    </sheetView>
  </sheetViews>
  <sheetFormatPr defaultRowHeight="15" x14ac:dyDescent="0.25"/>
  <cols>
    <col min="1" max="1" width="14" customWidth="1"/>
    <col min="2" max="2" width="12" customWidth="1"/>
    <col min="3" max="3" width="16" customWidth="1"/>
    <col min="4" max="5" width="20" customWidth="1"/>
    <col min="6" max="6" width="32" customWidth="1"/>
    <col min="7" max="7" width="16" customWidth="1"/>
    <col min="8" max="8" width="12" customWidth="1"/>
    <col min="9" max="9" width="10" customWidth="1"/>
    <col min="10" max="11" width="14" customWidth="1"/>
    <col min="12" max="12" width="20" customWidth="1"/>
    <col min="13" max="13" width="14" customWidth="1"/>
    <col min="14" max="15" width="12" customWidth="1"/>
    <col min="16" max="16" width="36" customWidth="1"/>
  </cols>
  <sheetData>
    <row r="1" spans="1:16" ht="27.95" customHeight="1" x14ac:dyDescent="0.25">
      <c r="A1" s="89" t="s">
        <v>519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5.95" customHeight="1" x14ac:dyDescent="0.25">
      <c r="A2" s="93" t="s">
        <v>520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</row>
    <row r="3" spans="1:16" ht="8.1" customHeight="1" x14ac:dyDescent="0.25"/>
    <row r="4" spans="1:16" ht="21.95" customHeight="1" x14ac:dyDescent="0.25">
      <c r="A4" s="96" t="s">
        <v>521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30" customHeight="1" x14ac:dyDescent="0.25">
      <c r="A5" s="1" t="s">
        <v>522</v>
      </c>
      <c r="B5" s="1" t="s">
        <v>466</v>
      </c>
      <c r="C5" s="1" t="s">
        <v>523</v>
      </c>
      <c r="D5" s="1" t="s">
        <v>42</v>
      </c>
      <c r="E5" s="1" t="s">
        <v>524</v>
      </c>
      <c r="F5" s="1" t="s">
        <v>525</v>
      </c>
      <c r="G5" s="1" t="s">
        <v>526</v>
      </c>
      <c r="H5" s="1" t="s">
        <v>44</v>
      </c>
      <c r="I5" s="1" t="s">
        <v>527</v>
      </c>
      <c r="J5" s="1" t="s">
        <v>528</v>
      </c>
      <c r="K5" s="1" t="s">
        <v>529</v>
      </c>
      <c r="L5" s="1" t="s">
        <v>530</v>
      </c>
      <c r="M5" s="1" t="s">
        <v>531</v>
      </c>
      <c r="N5" s="1" t="s">
        <v>532</v>
      </c>
      <c r="O5" s="1" t="s">
        <v>533</v>
      </c>
      <c r="P5" s="1" t="s">
        <v>534</v>
      </c>
    </row>
    <row r="6" spans="1:16" ht="25.5" customHeight="1" x14ac:dyDescent="0.25">
      <c r="A6" s="8" t="s">
        <v>49</v>
      </c>
      <c r="B6" s="8" t="s">
        <v>478</v>
      </c>
      <c r="C6" s="8" t="s">
        <v>535</v>
      </c>
      <c r="D6" s="8" t="s">
        <v>536</v>
      </c>
      <c r="E6" s="8" t="s">
        <v>52</v>
      </c>
      <c r="F6" s="8" t="s">
        <v>537</v>
      </c>
      <c r="G6" s="8" t="s">
        <v>139</v>
      </c>
      <c r="H6" s="7" t="s">
        <v>53</v>
      </c>
      <c r="I6" s="8"/>
      <c r="J6" s="8"/>
      <c r="K6" s="8"/>
      <c r="L6" s="8"/>
      <c r="M6" s="8"/>
      <c r="N6" s="8"/>
      <c r="O6" s="8"/>
      <c r="P6" s="8" t="s">
        <v>538</v>
      </c>
    </row>
    <row r="7" spans="1:16" ht="25.5" customHeight="1" x14ac:dyDescent="0.25">
      <c r="A7" s="8" t="s">
        <v>539</v>
      </c>
      <c r="B7" s="8" t="s">
        <v>478</v>
      </c>
      <c r="C7" s="8" t="s">
        <v>535</v>
      </c>
      <c r="D7" s="8" t="s">
        <v>487</v>
      </c>
      <c r="E7" s="8" t="s">
        <v>89</v>
      </c>
      <c r="F7" s="8" t="s">
        <v>540</v>
      </c>
      <c r="G7" s="8" t="s">
        <v>167</v>
      </c>
      <c r="H7" s="7" t="s">
        <v>53</v>
      </c>
      <c r="I7" s="8"/>
      <c r="J7" s="8"/>
      <c r="K7" s="8"/>
      <c r="L7" s="8"/>
      <c r="M7" s="8"/>
      <c r="N7" s="8"/>
      <c r="O7" s="8"/>
      <c r="P7" s="8" t="s">
        <v>541</v>
      </c>
    </row>
    <row r="8" spans="1:16" ht="63.75" x14ac:dyDescent="0.25">
      <c r="A8" s="67" t="s">
        <v>542</v>
      </c>
      <c r="B8" s="67" t="s">
        <v>543</v>
      </c>
      <c r="C8" s="67" t="s">
        <v>535</v>
      </c>
      <c r="D8" s="67" t="s">
        <v>544</v>
      </c>
      <c r="E8" s="67" t="s">
        <v>545</v>
      </c>
      <c r="F8" s="67" t="s">
        <v>546</v>
      </c>
      <c r="G8" s="67" t="s">
        <v>512</v>
      </c>
      <c r="H8" s="67" t="s">
        <v>53</v>
      </c>
      <c r="I8" s="67" t="s">
        <v>486</v>
      </c>
      <c r="J8" s="67"/>
      <c r="K8" s="67"/>
      <c r="L8" s="67" t="s">
        <v>547</v>
      </c>
      <c r="M8" s="67" t="s">
        <v>543</v>
      </c>
      <c r="N8" s="67" t="s">
        <v>298</v>
      </c>
      <c r="O8" s="67" t="s">
        <v>298</v>
      </c>
      <c r="P8" s="67" t="s">
        <v>548</v>
      </c>
    </row>
    <row r="9" spans="1:16" ht="51" x14ac:dyDescent="0.25">
      <c r="A9" s="66" t="s">
        <v>71</v>
      </c>
      <c r="B9" s="66" t="s">
        <v>155</v>
      </c>
      <c r="C9" s="66" t="s">
        <v>535</v>
      </c>
      <c r="D9" s="66" t="s">
        <v>549</v>
      </c>
      <c r="E9" s="66" t="s">
        <v>66</v>
      </c>
      <c r="F9" s="66" t="s">
        <v>550</v>
      </c>
      <c r="G9" s="66" t="s">
        <v>162</v>
      </c>
      <c r="H9" s="66" t="s">
        <v>53</v>
      </c>
      <c r="I9" s="66" t="s">
        <v>486</v>
      </c>
      <c r="J9" s="66"/>
      <c r="K9" s="66"/>
      <c r="L9" s="66" t="s">
        <v>547</v>
      </c>
      <c r="M9" s="66" t="s">
        <v>155</v>
      </c>
      <c r="N9" s="66" t="s">
        <v>103</v>
      </c>
      <c r="O9" s="66" t="s">
        <v>103</v>
      </c>
      <c r="P9" s="66" t="s">
        <v>551</v>
      </c>
    </row>
    <row r="10" spans="1:16" ht="20.100000000000001" customHeight="1" x14ac:dyDescent="0.25">
      <c r="A10" s="67" t="s">
        <v>76</v>
      </c>
      <c r="B10" s="67" t="s">
        <v>155</v>
      </c>
      <c r="C10" s="67" t="s">
        <v>535</v>
      </c>
      <c r="D10" s="67" t="s">
        <v>549</v>
      </c>
      <c r="E10" s="67" t="s">
        <v>66</v>
      </c>
      <c r="F10" s="67" t="s">
        <v>552</v>
      </c>
      <c r="G10" s="67" t="s">
        <v>162</v>
      </c>
      <c r="H10" s="67" t="s">
        <v>73</v>
      </c>
      <c r="I10" s="67" t="s">
        <v>553</v>
      </c>
      <c r="J10" s="67"/>
      <c r="K10" s="67"/>
      <c r="L10" s="67" t="s">
        <v>554</v>
      </c>
      <c r="M10" s="67" t="s">
        <v>155</v>
      </c>
      <c r="N10" s="67" t="s">
        <v>555</v>
      </c>
      <c r="O10" s="67" t="s">
        <v>298</v>
      </c>
      <c r="P10" s="67" t="s">
        <v>556</v>
      </c>
    </row>
    <row r="11" spans="1:16" ht="20.100000000000001" customHeight="1" x14ac:dyDescent="0.25">
      <c r="A11" s="66" t="s">
        <v>56</v>
      </c>
      <c r="B11" s="66" t="s">
        <v>155</v>
      </c>
      <c r="C11" s="66" t="s">
        <v>535</v>
      </c>
      <c r="D11" s="66" t="s">
        <v>58</v>
      </c>
      <c r="E11" s="66" t="s">
        <v>52</v>
      </c>
      <c r="F11" s="66" t="s">
        <v>557</v>
      </c>
      <c r="G11" s="66" t="s">
        <v>156</v>
      </c>
      <c r="H11" s="66" t="s">
        <v>53</v>
      </c>
      <c r="I11" s="66" t="s">
        <v>553</v>
      </c>
      <c r="J11" s="66"/>
      <c r="K11" s="66"/>
      <c r="L11" s="66" t="s">
        <v>558</v>
      </c>
      <c r="M11" s="66" t="s">
        <v>155</v>
      </c>
      <c r="N11" s="66" t="s">
        <v>555</v>
      </c>
      <c r="O11" s="66" t="s">
        <v>298</v>
      </c>
      <c r="P11" s="66" t="s">
        <v>559</v>
      </c>
    </row>
    <row r="12" spans="1:16" ht="20.100000000000001" customHeight="1" x14ac:dyDescent="0.25">
      <c r="A12" s="67" t="s">
        <v>560</v>
      </c>
      <c r="B12" s="67" t="s">
        <v>561</v>
      </c>
      <c r="C12" s="67" t="s">
        <v>535</v>
      </c>
      <c r="D12" s="67" t="s">
        <v>549</v>
      </c>
      <c r="E12" s="67" t="s">
        <v>52</v>
      </c>
      <c r="F12" s="67" t="s">
        <v>562</v>
      </c>
      <c r="G12" s="67" t="s">
        <v>156</v>
      </c>
      <c r="H12" s="67" t="s">
        <v>73</v>
      </c>
      <c r="I12" s="67"/>
      <c r="J12" s="67"/>
      <c r="K12" s="67"/>
      <c r="L12" s="67"/>
      <c r="M12" s="67"/>
      <c r="N12" s="67" t="s">
        <v>311</v>
      </c>
      <c r="O12" s="67" t="s">
        <v>563</v>
      </c>
      <c r="P12" s="67" t="s">
        <v>564</v>
      </c>
    </row>
    <row r="13" spans="1:16" ht="20.100000000000001" customHeight="1" x14ac:dyDescent="0.25">
      <c r="A13" s="66" t="s">
        <v>565</v>
      </c>
      <c r="B13" s="66" t="s">
        <v>561</v>
      </c>
      <c r="C13" s="66" t="s">
        <v>535</v>
      </c>
      <c r="D13" s="66" t="s">
        <v>549</v>
      </c>
      <c r="E13" s="66" t="s">
        <v>52</v>
      </c>
      <c r="F13" s="66" t="s">
        <v>566</v>
      </c>
      <c r="G13" s="66" t="s">
        <v>156</v>
      </c>
      <c r="H13" s="66" t="s">
        <v>73</v>
      </c>
      <c r="I13" s="66"/>
      <c r="J13" s="66"/>
      <c r="K13" s="66"/>
      <c r="L13" s="66"/>
      <c r="M13" s="66"/>
      <c r="N13" s="66" t="s">
        <v>311</v>
      </c>
      <c r="O13" s="66" t="s">
        <v>563</v>
      </c>
      <c r="P13" s="66" t="s">
        <v>564</v>
      </c>
    </row>
    <row r="14" spans="1:16" ht="20.100000000000001" customHeight="1" x14ac:dyDescent="0.25">
      <c r="A14" s="67" t="s">
        <v>83</v>
      </c>
      <c r="B14" s="67" t="s">
        <v>498</v>
      </c>
      <c r="C14" s="67" t="s">
        <v>535</v>
      </c>
      <c r="D14" s="67" t="s">
        <v>567</v>
      </c>
      <c r="E14" s="67" t="s">
        <v>66</v>
      </c>
      <c r="F14" s="67" t="s">
        <v>568</v>
      </c>
      <c r="G14" s="67" t="s">
        <v>167</v>
      </c>
      <c r="H14" s="67" t="s">
        <v>73</v>
      </c>
      <c r="I14" s="67"/>
      <c r="J14" s="67"/>
      <c r="K14" s="67"/>
      <c r="L14" s="67"/>
      <c r="M14" s="67" t="s">
        <v>498</v>
      </c>
      <c r="N14" s="67" t="s">
        <v>311</v>
      </c>
      <c r="O14" s="67" t="s">
        <v>563</v>
      </c>
      <c r="P14" s="67" t="s">
        <v>569</v>
      </c>
    </row>
    <row r="15" spans="1:16" ht="20.100000000000001" customHeight="1" x14ac:dyDescent="0.25">
      <c r="A15" s="66" t="s">
        <v>63</v>
      </c>
      <c r="B15" s="66" t="s">
        <v>155</v>
      </c>
      <c r="C15" s="66" t="s">
        <v>535</v>
      </c>
      <c r="D15" s="66" t="s">
        <v>65</v>
      </c>
      <c r="E15" s="66" t="s">
        <v>66</v>
      </c>
      <c r="F15" s="66" t="s">
        <v>570</v>
      </c>
      <c r="G15" s="66" t="s">
        <v>162</v>
      </c>
      <c r="H15" s="66" t="s">
        <v>53</v>
      </c>
      <c r="I15" s="66" t="s">
        <v>486</v>
      </c>
      <c r="J15" s="66"/>
      <c r="K15" s="66" t="s">
        <v>68</v>
      </c>
      <c r="L15" s="66" t="s">
        <v>547</v>
      </c>
      <c r="M15" s="66"/>
      <c r="N15" s="66" t="s">
        <v>298</v>
      </c>
      <c r="O15" s="66" t="s">
        <v>298</v>
      </c>
      <c r="P15" s="66" t="s">
        <v>571</v>
      </c>
    </row>
    <row r="16" spans="1:16" ht="20.100000000000001" customHeight="1" x14ac:dyDescent="0.25">
      <c r="A16" s="67" t="s">
        <v>572</v>
      </c>
      <c r="B16" s="67" t="s">
        <v>155</v>
      </c>
      <c r="C16" s="67" t="s">
        <v>535</v>
      </c>
      <c r="D16" s="67" t="s">
        <v>51</v>
      </c>
      <c r="E16" s="67" t="s">
        <v>108</v>
      </c>
      <c r="F16" s="67" t="s">
        <v>573</v>
      </c>
      <c r="G16" s="67" t="s">
        <v>202</v>
      </c>
      <c r="H16" s="67" t="s">
        <v>73</v>
      </c>
      <c r="I16" s="67" t="s">
        <v>553</v>
      </c>
      <c r="J16" s="67"/>
      <c r="K16" s="67"/>
      <c r="L16" s="67" t="s">
        <v>574</v>
      </c>
      <c r="M16" s="67"/>
      <c r="N16" s="67" t="s">
        <v>298</v>
      </c>
      <c r="O16" s="67" t="s">
        <v>298</v>
      </c>
      <c r="P16" s="67" t="s">
        <v>575</v>
      </c>
    </row>
    <row r="17" spans="1:16" ht="20.100000000000001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20.100000000000001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16" ht="20.100000000000001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16" ht="20.100000000000001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20.100000000000001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</row>
    <row r="22" spans="1:16" ht="20.100000000000001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6" ht="20.100000000000001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spans="1:16" ht="20.100000000000001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ht="20.100000000000001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spans="1:16" ht="20.100000000000001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20.10000000000000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spans="1:16" ht="20.100000000000001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ht="20.100000000000001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spans="1:16" ht="20.100000000000001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ht="20.100000000000001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spans="1:16" ht="20.100000000000001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ht="20.100000000000001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spans="1:16" ht="20.100000000000001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ht="20.100000000000001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spans="1:16" ht="20.100000000000001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ht="20.100000000000001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spans="1:16" ht="20.100000000000001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ht="20.100000000000001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spans="1:16" ht="20.100000000000001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ht="20.100000000000001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spans="1:16" ht="20.100000000000001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 ht="20.100000000000001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spans="1:16" ht="20.100000000000001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 ht="20.100000000000001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spans="1:16" ht="20.100000000000001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ht="20.100000000000001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spans="1:16" ht="20.100000000000001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 ht="20.100000000000001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spans="1:16" ht="20.100000000000001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 ht="20.100000000000001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1:16" ht="20.100000000000001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 ht="20.100000000000001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spans="1:16" ht="20.100000000000001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ht="20.100000000000001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spans="1:16" ht="20.100000000000001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 ht="20.100000000000001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spans="1:16" ht="20.100000000000001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20.100000000000001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spans="1:16" ht="20.100000000000001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ht="20.100000000000001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spans="1:16" ht="20.100000000000001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 ht="20.100000000000001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spans="1:16" ht="20.100000000000001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ht="20.100000000000001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spans="1:16" ht="20.100000000000001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ht="20.100000000000001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spans="1:16" ht="20.100000000000001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ht="20.100000000000001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spans="1:16" ht="20.100000000000001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ht="20.100000000000001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spans="1:16" ht="20.100000000000001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ht="20.100000000000001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spans="1:16" ht="20.100000000000001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ht="20.100000000000001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spans="1:16" ht="20.100000000000001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ht="20.100000000000001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spans="1:16" ht="20.100000000000001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ht="20.100000000000001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spans="1:16" ht="20.100000000000001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ht="20.100000000000001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spans="1:16" ht="20.100000000000001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ht="20.100000000000001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spans="1:16" ht="20.100000000000001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ht="20.100000000000001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spans="1:16" ht="20.100000000000001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ht="20.100000000000001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spans="1:16" ht="20.100000000000001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ht="20.100000000000001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spans="1:16" ht="20.100000000000001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ht="20.100000000000001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spans="1:16" ht="20.100000000000001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ht="20.100000000000001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spans="1:16" ht="20.100000000000001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ht="20.100000000000001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spans="1:16" ht="20.100000000000001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ht="20.100000000000001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spans="1:16" ht="20.100000000000001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ht="20.100000000000001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spans="1:16" ht="20.100000000000001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</sheetData>
  <mergeCells count="3">
    <mergeCell ref="A1:P1"/>
    <mergeCell ref="A4:P4"/>
    <mergeCell ref="A2:P2"/>
  </mergeCells>
  <conditionalFormatting sqref="C6:C100">
    <cfRule type="expression" dxfId="10" priority="3">
      <formula>$C6="Well Land"</formula>
    </cfRule>
    <cfRule type="expression" dxfId="9" priority="4">
      <formula>$C6="PLK"</formula>
    </cfRule>
  </conditionalFormatting>
  <conditionalFormatting sqref="H6:H100">
    <cfRule type="expression" dxfId="8" priority="1">
      <formula>$H6="CRITICAL"</formula>
    </cfRule>
    <cfRule type="expression" dxfId="7" priority="2">
      <formula>$H6="URGENT"</formula>
    </cfRule>
  </conditionalFormatting>
  <dataValidations count="4">
    <dataValidation type="list" allowBlank="1" sqref="C6:C100" xr:uid="{00000000-0002-0000-0600-000000000000}">
      <formula1>"Well Land,PLK,Both,Other Antrac Unit"</formula1>
    </dataValidation>
    <dataValidation type="list" allowBlank="1" sqref="H6:H100" xr:uid="{00000000-0002-0000-0600-000001000000}">
      <formula1>"CRITICAL,URGENT,ROUTINE"</formula1>
    </dataValidation>
    <dataValidation type="list" allowBlank="1" sqref="K6:K100 N6:N100" xr:uid="{00000000-0002-0000-0600-000002000000}">
      <formula1>"Yes,No,Pending"</formula1>
    </dataValidation>
    <dataValidation type="list" allowBlank="1" sqref="O6:O100" xr:uid="{00000000-0002-0000-0600-000003000000}">
      <formula1>"Yes,Partial,No,Pending"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8860A"/>
  </sheetPr>
  <dimension ref="A1:N80"/>
  <sheetViews>
    <sheetView showGridLines="0" workbookViewId="0">
      <pane ySplit="4" topLeftCell="A5" activePane="bottomLeft" state="frozen"/>
      <selection pane="bottomLeft" activeCell="A2" sqref="A2:N2"/>
    </sheetView>
  </sheetViews>
  <sheetFormatPr defaultRowHeight="15" x14ac:dyDescent="0.25"/>
  <cols>
    <col min="1" max="1" width="14" customWidth="1"/>
    <col min="2" max="2" width="12" customWidth="1"/>
    <col min="3" max="3" width="28" customWidth="1"/>
    <col min="4" max="4" width="18" customWidth="1"/>
    <col min="5" max="5" width="26" customWidth="1"/>
    <col min="6" max="6" width="20" customWidth="1"/>
    <col min="7" max="7" width="18" customWidth="1"/>
    <col min="8" max="8" width="14" customWidth="1"/>
    <col min="9" max="9" width="28" customWidth="1"/>
    <col min="10" max="10" width="16" customWidth="1"/>
    <col min="11" max="11" width="14" customWidth="1"/>
    <col min="12" max="13" width="18" customWidth="1"/>
    <col min="14" max="14" width="36" customWidth="1"/>
  </cols>
  <sheetData>
    <row r="1" spans="1:14" ht="27.95" customHeight="1" x14ac:dyDescent="0.25">
      <c r="A1" s="89" t="s">
        <v>576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15.95" customHeight="1" x14ac:dyDescent="0.25">
      <c r="A2" s="98" t="s">
        <v>577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30" customHeight="1" x14ac:dyDescent="0.25">
      <c r="A3" s="97" t="s">
        <v>578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</row>
    <row r="4" spans="1:14" ht="30" customHeight="1" x14ac:dyDescent="0.25">
      <c r="A4" s="1" t="s">
        <v>579</v>
      </c>
      <c r="B4" s="1" t="s">
        <v>466</v>
      </c>
      <c r="C4" s="1" t="s">
        <v>580</v>
      </c>
      <c r="D4" s="1" t="s">
        <v>581</v>
      </c>
      <c r="E4" s="1" t="s">
        <v>582</v>
      </c>
      <c r="F4" s="1" t="s">
        <v>583</v>
      </c>
      <c r="G4" s="1" t="s">
        <v>43</v>
      </c>
      <c r="H4" s="1" t="s">
        <v>584</v>
      </c>
      <c r="I4" s="1" t="s">
        <v>585</v>
      </c>
      <c r="J4" s="1" t="s">
        <v>586</v>
      </c>
      <c r="K4" s="1" t="s">
        <v>587</v>
      </c>
      <c r="L4" s="1" t="s">
        <v>588</v>
      </c>
      <c r="M4" s="1" t="s">
        <v>589</v>
      </c>
      <c r="N4" s="1" t="s">
        <v>590</v>
      </c>
    </row>
    <row r="5" spans="1:14" ht="20.100000000000001" customHeight="1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1:14" ht="20.100000000000001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 ht="20.100000000000001" customHeigh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</row>
    <row r="8" spans="1:14" ht="20.100000000000001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1:14" ht="20.100000000000001" customHeight="1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20.100000000000001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</row>
    <row r="11" spans="1:14" ht="20.100000000000001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20.100000000000001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pans="1:14" ht="20.100000000000001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20.100000000000001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pans="1:14" ht="20.100000000000001" customHeight="1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20.100000000000001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</row>
    <row r="17" spans="1:14" ht="20.100000000000001" customHeight="1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20.100000000000001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20.100000000000001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20.100000000000001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ht="20.100000000000001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20.100000000000001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ht="20.100000000000001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4" spans="1:14" ht="20.100000000000001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ht="20.100000000000001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 spans="1:14" ht="20.100000000000001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4" ht="20.10000000000000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4" ht="20.100000000000001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4" ht="20.100000000000001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spans="1:14" ht="20.100000000000001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 ht="20.100000000000001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 spans="1:14" ht="20.100000000000001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spans="1:14" ht="20.100000000000001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14" ht="20.100000000000001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</row>
    <row r="35" spans="1:14" ht="20.100000000000001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14" ht="20.100000000000001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</row>
    <row r="37" spans="1:14" ht="20.100000000000001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</row>
    <row r="38" spans="1:14" ht="20.100000000000001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</row>
    <row r="39" spans="1:14" ht="20.100000000000001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</row>
    <row r="40" spans="1:14" ht="20.100000000000001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20.100000000000001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</row>
    <row r="42" spans="1:14" ht="20.100000000000001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20.100000000000001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pans="1:14" ht="20.100000000000001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20.100000000000001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</row>
    <row r="46" spans="1:14" ht="20.100000000000001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20.100000000000001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4" ht="20.100000000000001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</row>
    <row r="49" spans="1:14" ht="20.100000000000001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</row>
    <row r="50" spans="1:14" ht="20.100000000000001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ht="20.100000000000001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20.100000000000001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20.100000000000001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</row>
    <row r="54" spans="1:14" ht="20.100000000000001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</row>
    <row r="55" spans="1:14" ht="20.100000000000001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</row>
    <row r="56" spans="1:14" ht="20.100000000000001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</row>
    <row r="57" spans="1:14" ht="20.100000000000001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20.100000000000001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</row>
    <row r="59" spans="1:14" ht="20.100000000000001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20.100000000000001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spans="1:14" ht="20.100000000000001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</row>
    <row r="62" spans="1:14" ht="20.100000000000001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spans="1:14" ht="20.100000000000001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</row>
    <row r="64" spans="1:14" ht="20.100000000000001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</row>
    <row r="65" spans="1:14" ht="20.100000000000001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</row>
    <row r="66" spans="1:14" ht="20.100000000000001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20.100000000000001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14" ht="20.100000000000001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spans="1:14" ht="20.100000000000001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1:14" ht="20.100000000000001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</row>
    <row r="71" spans="1:14" ht="20.100000000000001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1:14" ht="20.100000000000001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</row>
    <row r="73" spans="1:14" ht="20.100000000000001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</row>
    <row r="74" spans="1:14" ht="20.100000000000001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1:14" ht="20.100000000000001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</row>
    <row r="76" spans="1:14" ht="20.100000000000001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</row>
    <row r="77" spans="1:14" ht="20.100000000000001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</row>
    <row r="78" spans="1:14" ht="20.100000000000001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spans="1:14" ht="20.100000000000001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</row>
    <row r="80" spans="1:14" ht="20.100000000000001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</sheetData>
  <mergeCells count="3">
    <mergeCell ref="A3:N3"/>
    <mergeCell ref="A2:N2"/>
    <mergeCell ref="A1:N1"/>
  </mergeCells>
  <conditionalFormatting sqref="H5:H80">
    <cfRule type="expression" dxfId="6" priority="1">
      <formula>$H5="Yes"</formula>
    </cfRule>
    <cfRule type="expression" dxfId="5" priority="2">
      <formula>$H5="No"</formula>
    </cfRule>
  </conditionalFormatting>
  <conditionalFormatting sqref="K5:K80">
    <cfRule type="expression" dxfId="4" priority="3">
      <formula>$K5="Yes"</formula>
    </cfRule>
  </conditionalFormatting>
  <dataValidations count="4">
    <dataValidation type="list" allowBlank="1" sqref="H5:H80" xr:uid="{00000000-0002-0000-0700-000000000000}">
      <formula1>"Yes,No"</formula1>
    </dataValidation>
    <dataValidation type="list" allowBlank="1" sqref="I5:I80" xr:uid="{00000000-0002-0000-0700-000001000000}">
      <formula1>"Thilafushi base down,Vehicle at project site,Grounded,Under maintenance,Already rented,Condition unknown — unverified,Other"</formula1>
    </dataValidation>
    <dataValidation type="list" allowBlank="1" sqref="J5:J80" xr:uid="{00000000-0002-0000-0700-000002000000}">
      <formula1>"Yes,No,Pending"</formula1>
    </dataValidation>
    <dataValidation type="list" allowBlank="1" sqref="K5:K80" xr:uid="{00000000-0002-0000-0700-000003000000}">
      <formula1>"Yes,No,Pending,Expired"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966AA"/>
  </sheetPr>
  <dimension ref="A1:N32"/>
  <sheetViews>
    <sheetView showGridLines="0" workbookViewId="0">
      <selection activeCell="G10" sqref="G10"/>
    </sheetView>
  </sheetViews>
  <sheetFormatPr defaultRowHeight="15" x14ac:dyDescent="0.25"/>
  <cols>
    <col min="1" max="1" width="14" customWidth="1"/>
    <col min="2" max="2" width="22" customWidth="1"/>
    <col min="3" max="3" width="20" customWidth="1"/>
    <col min="4" max="6" width="16" customWidth="1"/>
    <col min="7" max="7" width="20" customWidth="1"/>
    <col min="8" max="8" width="16" customWidth="1"/>
    <col min="9" max="9" width="14" customWidth="1"/>
    <col min="10" max="11" width="16" customWidth="1"/>
    <col min="12" max="12" width="20" customWidth="1"/>
    <col min="13" max="13" width="16" customWidth="1"/>
    <col min="14" max="14" width="36" customWidth="1"/>
  </cols>
  <sheetData>
    <row r="1" spans="1:14" ht="27.95" customHeight="1" x14ac:dyDescent="0.25">
      <c r="A1" s="89" t="s">
        <v>591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ht="15.95" customHeight="1" x14ac:dyDescent="0.25">
      <c r="A2" s="94" t="s">
        <v>592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</row>
    <row r="3" spans="1:14" ht="8.1" customHeight="1" x14ac:dyDescent="0.25"/>
    <row r="4" spans="1:14" ht="20.100000000000001" customHeight="1" x14ac:dyDescent="0.25">
      <c r="A4" s="99" t="s">
        <v>593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</row>
    <row r="5" spans="1:14" ht="30" customHeight="1" x14ac:dyDescent="0.25">
      <c r="A5" s="1" t="s">
        <v>113</v>
      </c>
      <c r="B5" s="1" t="s">
        <v>114</v>
      </c>
      <c r="C5" s="1" t="s">
        <v>594</v>
      </c>
      <c r="D5" s="1" t="s">
        <v>595</v>
      </c>
      <c r="E5" s="1" t="s">
        <v>128</v>
      </c>
      <c r="F5" s="1" t="s">
        <v>129</v>
      </c>
      <c r="G5" s="1" t="s">
        <v>596</v>
      </c>
      <c r="H5" s="1" t="s">
        <v>291</v>
      </c>
      <c r="I5" s="1" t="s">
        <v>597</v>
      </c>
      <c r="J5" s="1" t="s">
        <v>598</v>
      </c>
      <c r="K5" s="1" t="s">
        <v>599</v>
      </c>
      <c r="L5" s="1" t="s">
        <v>600</v>
      </c>
      <c r="M5" s="1" t="s">
        <v>601</v>
      </c>
      <c r="N5" s="1" t="s">
        <v>602</v>
      </c>
    </row>
    <row r="6" spans="1:14" ht="21.95" customHeight="1" x14ac:dyDescent="0.25">
      <c r="A6" s="6" t="s">
        <v>132</v>
      </c>
      <c r="B6" s="4" t="s">
        <v>133</v>
      </c>
      <c r="C6" s="62" t="s">
        <v>603</v>
      </c>
      <c r="D6" s="4"/>
      <c r="E6" s="4"/>
      <c r="F6" s="4"/>
      <c r="G6" s="4"/>
      <c r="H6" s="4"/>
      <c r="I6" s="4"/>
      <c r="J6" s="4" t="s">
        <v>298</v>
      </c>
      <c r="K6" s="4" t="s">
        <v>298</v>
      </c>
      <c r="L6" s="4"/>
      <c r="M6" s="4"/>
      <c r="N6" s="68" t="s">
        <v>604</v>
      </c>
    </row>
    <row r="7" spans="1:14" ht="21.95" customHeight="1" x14ac:dyDescent="0.25">
      <c r="A7" s="5" t="s">
        <v>139</v>
      </c>
      <c r="B7" s="5" t="s">
        <v>133</v>
      </c>
      <c r="C7" s="63" t="s">
        <v>603</v>
      </c>
      <c r="D7" s="5"/>
      <c r="E7" s="5"/>
      <c r="F7" s="5"/>
      <c r="G7" s="5"/>
      <c r="H7" s="5"/>
      <c r="I7" s="5"/>
      <c r="J7" s="5" t="s">
        <v>298</v>
      </c>
      <c r="K7" s="5" t="s">
        <v>298</v>
      </c>
      <c r="L7" s="5"/>
      <c r="M7" s="5"/>
      <c r="N7" s="63" t="s">
        <v>605</v>
      </c>
    </row>
    <row r="8" spans="1:14" ht="21.95" customHeight="1" x14ac:dyDescent="0.25">
      <c r="A8" s="6" t="s">
        <v>141</v>
      </c>
      <c r="B8" s="4" t="s">
        <v>142</v>
      </c>
      <c r="C8" s="62" t="s">
        <v>606</v>
      </c>
      <c r="D8" s="4"/>
      <c r="E8" s="4"/>
      <c r="F8" s="4"/>
      <c r="G8" s="4"/>
      <c r="H8" s="4"/>
      <c r="I8" s="4"/>
      <c r="J8" s="4" t="s">
        <v>298</v>
      </c>
      <c r="K8" s="4" t="s">
        <v>298</v>
      </c>
      <c r="L8" s="4"/>
      <c r="M8" s="4"/>
      <c r="N8" s="68" t="s">
        <v>607</v>
      </c>
    </row>
    <row r="9" spans="1:14" ht="21.95" customHeight="1" x14ac:dyDescent="0.25">
      <c r="A9" s="6" t="s">
        <v>145</v>
      </c>
      <c r="B9" s="5" t="s">
        <v>142</v>
      </c>
      <c r="C9" s="63" t="s">
        <v>608</v>
      </c>
      <c r="D9" s="5"/>
      <c r="E9" s="5"/>
      <c r="F9" s="5"/>
      <c r="G9" s="5"/>
      <c r="H9" s="5"/>
      <c r="I9" s="5"/>
      <c r="J9" s="5" t="s">
        <v>298</v>
      </c>
      <c r="K9" s="5" t="s">
        <v>298</v>
      </c>
      <c r="L9" s="5"/>
      <c r="M9" s="5"/>
      <c r="N9" s="68" t="s">
        <v>607</v>
      </c>
    </row>
    <row r="10" spans="1:14" ht="21.95" customHeight="1" x14ac:dyDescent="0.25">
      <c r="A10" s="6" t="s">
        <v>147</v>
      </c>
      <c r="B10" s="4" t="s">
        <v>157</v>
      </c>
      <c r="C10" s="62" t="s">
        <v>609</v>
      </c>
      <c r="D10" s="4"/>
      <c r="E10" s="4"/>
      <c r="F10" s="4"/>
      <c r="G10" s="4"/>
      <c r="H10" s="4"/>
      <c r="I10" s="4"/>
      <c r="J10" s="4" t="s">
        <v>298</v>
      </c>
      <c r="K10" s="4" t="s">
        <v>298</v>
      </c>
      <c r="L10" s="4"/>
      <c r="M10" s="4"/>
      <c r="N10" s="68" t="s">
        <v>610</v>
      </c>
    </row>
    <row r="11" spans="1:14" ht="21.95" customHeight="1" x14ac:dyDescent="0.25">
      <c r="A11" s="6" t="s">
        <v>156</v>
      </c>
      <c r="B11" s="5" t="s">
        <v>157</v>
      </c>
      <c r="C11" s="63" t="s">
        <v>611</v>
      </c>
      <c r="D11" s="5"/>
      <c r="E11" s="5"/>
      <c r="F11" s="5"/>
      <c r="G11" s="5"/>
      <c r="H11" s="5"/>
      <c r="I11" s="5"/>
      <c r="J11" s="5" t="s">
        <v>298</v>
      </c>
      <c r="K11" s="5" t="s">
        <v>298</v>
      </c>
      <c r="L11" s="5"/>
      <c r="M11" s="5"/>
      <c r="N11" s="68" t="s">
        <v>612</v>
      </c>
    </row>
    <row r="12" spans="1:14" ht="21.95" customHeight="1" x14ac:dyDescent="0.25">
      <c r="A12" s="6" t="s">
        <v>162</v>
      </c>
      <c r="B12" s="4" t="s">
        <v>157</v>
      </c>
      <c r="C12" s="62" t="s">
        <v>611</v>
      </c>
      <c r="D12" s="4"/>
      <c r="E12" s="4"/>
      <c r="F12" s="4"/>
      <c r="G12" s="4"/>
      <c r="H12" s="4"/>
      <c r="I12" s="4"/>
      <c r="J12" s="4" t="s">
        <v>298</v>
      </c>
      <c r="K12" s="4" t="s">
        <v>298</v>
      </c>
      <c r="L12" s="4"/>
      <c r="M12" s="4"/>
      <c r="N12" s="68" t="s">
        <v>613</v>
      </c>
    </row>
    <row r="13" spans="1:14" ht="21.95" customHeight="1" x14ac:dyDescent="0.25">
      <c r="A13" s="5" t="s">
        <v>167</v>
      </c>
      <c r="B13" s="5" t="s">
        <v>148</v>
      </c>
      <c r="C13" s="63" t="s">
        <v>611</v>
      </c>
      <c r="D13" s="5"/>
      <c r="E13" s="5"/>
      <c r="F13" s="5"/>
      <c r="G13" s="5"/>
      <c r="H13" s="5"/>
      <c r="I13" s="5"/>
      <c r="J13" s="5" t="s">
        <v>298</v>
      </c>
      <c r="K13" s="5" t="s">
        <v>298</v>
      </c>
      <c r="L13" s="5"/>
      <c r="M13" s="5"/>
      <c r="N13" s="63" t="s">
        <v>614</v>
      </c>
    </row>
    <row r="14" spans="1:14" ht="21.95" customHeight="1" x14ac:dyDescent="0.25">
      <c r="A14" s="6" t="s">
        <v>87</v>
      </c>
      <c r="B14" s="4" t="s">
        <v>148</v>
      </c>
      <c r="C14" s="62" t="s">
        <v>611</v>
      </c>
      <c r="D14" s="4"/>
      <c r="E14" s="4"/>
      <c r="F14" s="4"/>
      <c r="G14" s="4"/>
      <c r="H14" s="4"/>
      <c r="I14" s="4"/>
      <c r="J14" s="4" t="s">
        <v>298</v>
      </c>
      <c r="K14" s="4" t="s">
        <v>298</v>
      </c>
      <c r="L14" s="4"/>
      <c r="M14" s="4"/>
      <c r="N14" s="68" t="s">
        <v>615</v>
      </c>
    </row>
    <row r="15" spans="1:14" ht="21.95" customHeight="1" x14ac:dyDescent="0.25">
      <c r="A15" s="6" t="s">
        <v>170</v>
      </c>
      <c r="B15" s="5" t="s">
        <v>171</v>
      </c>
      <c r="C15" s="63" t="s">
        <v>461</v>
      </c>
      <c r="D15" s="5"/>
      <c r="E15" s="5"/>
      <c r="F15" s="5"/>
      <c r="G15" s="5"/>
      <c r="H15" s="5"/>
      <c r="I15" s="5"/>
      <c r="J15" s="5" t="s">
        <v>298</v>
      </c>
      <c r="K15" s="5" t="s">
        <v>298</v>
      </c>
      <c r="L15" s="5"/>
      <c r="M15" s="5"/>
      <c r="N15" s="68" t="s">
        <v>616</v>
      </c>
    </row>
    <row r="16" spans="1:14" ht="21.95" customHeight="1" x14ac:dyDescent="0.25">
      <c r="A16" s="6" t="s">
        <v>174</v>
      </c>
      <c r="B16" s="4" t="s">
        <v>157</v>
      </c>
      <c r="C16" s="62" t="s">
        <v>617</v>
      </c>
      <c r="D16" s="4"/>
      <c r="E16" s="4"/>
      <c r="F16" s="4"/>
      <c r="G16" s="4"/>
      <c r="H16" s="4"/>
      <c r="I16" s="4"/>
      <c r="J16" s="4" t="s">
        <v>298</v>
      </c>
      <c r="K16" s="4" t="s">
        <v>298</v>
      </c>
      <c r="L16" s="4"/>
      <c r="M16" s="4"/>
      <c r="N16" s="68" t="s">
        <v>618</v>
      </c>
    </row>
    <row r="17" spans="1:14" ht="21.95" customHeight="1" x14ac:dyDescent="0.25">
      <c r="A17" s="6" t="s">
        <v>176</v>
      </c>
      <c r="B17" s="5" t="s">
        <v>157</v>
      </c>
      <c r="C17" s="63" t="s">
        <v>619</v>
      </c>
      <c r="D17" s="5"/>
      <c r="E17" s="5"/>
      <c r="F17" s="5"/>
      <c r="G17" s="5"/>
      <c r="H17" s="5"/>
      <c r="I17" s="5"/>
      <c r="J17" s="5" t="s">
        <v>298</v>
      </c>
      <c r="K17" s="5" t="s">
        <v>298</v>
      </c>
      <c r="L17" s="5"/>
      <c r="M17" s="5"/>
      <c r="N17" s="68" t="s">
        <v>618</v>
      </c>
    </row>
    <row r="18" spans="1:14" ht="21.95" customHeight="1" x14ac:dyDescent="0.25">
      <c r="A18" s="6" t="s">
        <v>179</v>
      </c>
      <c r="B18" s="4" t="s">
        <v>180</v>
      </c>
      <c r="C18" s="62" t="s">
        <v>620</v>
      </c>
      <c r="D18" s="4"/>
      <c r="E18" s="4"/>
      <c r="F18" s="4"/>
      <c r="G18" s="4"/>
      <c r="H18" s="4"/>
      <c r="I18" s="4"/>
      <c r="J18" s="4" t="s">
        <v>298</v>
      </c>
      <c r="K18" s="4" t="s">
        <v>298</v>
      </c>
      <c r="L18" s="4"/>
      <c r="M18" s="4"/>
      <c r="N18" s="68" t="s">
        <v>621</v>
      </c>
    </row>
    <row r="19" spans="1:14" ht="21.95" customHeight="1" x14ac:dyDescent="0.25">
      <c r="A19" s="6" t="s">
        <v>183</v>
      </c>
      <c r="B19" s="5" t="s">
        <v>184</v>
      </c>
      <c r="C19" s="63" t="s">
        <v>622</v>
      </c>
      <c r="D19" s="5"/>
      <c r="E19" s="5"/>
      <c r="F19" s="5"/>
      <c r="G19" s="5"/>
      <c r="H19" s="5"/>
      <c r="I19" s="5"/>
      <c r="J19" s="5" t="s">
        <v>298</v>
      </c>
      <c r="K19" s="5" t="s">
        <v>298</v>
      </c>
      <c r="L19" s="5"/>
      <c r="M19" s="5"/>
      <c r="N19" s="68" t="s">
        <v>621</v>
      </c>
    </row>
    <row r="20" spans="1:14" ht="21.95" customHeight="1" x14ac:dyDescent="0.25">
      <c r="A20" s="6" t="s">
        <v>187</v>
      </c>
      <c r="B20" s="4" t="s">
        <v>188</v>
      </c>
      <c r="C20" s="62" t="s">
        <v>623</v>
      </c>
      <c r="D20" s="4"/>
      <c r="E20" s="4"/>
      <c r="F20" s="4"/>
      <c r="G20" s="4"/>
      <c r="H20" s="4"/>
      <c r="I20" s="4"/>
      <c r="J20" s="4" t="s">
        <v>298</v>
      </c>
      <c r="K20" s="4" t="s">
        <v>298</v>
      </c>
      <c r="L20" s="4"/>
      <c r="M20" s="4"/>
      <c r="N20" s="68" t="s">
        <v>621</v>
      </c>
    </row>
    <row r="21" spans="1:14" ht="21.95" customHeight="1" x14ac:dyDescent="0.25">
      <c r="A21" s="6" t="s">
        <v>191</v>
      </c>
      <c r="B21" s="5" t="s">
        <v>192</v>
      </c>
      <c r="C21" s="63" t="s">
        <v>624</v>
      </c>
      <c r="D21" s="5"/>
      <c r="E21" s="5"/>
      <c r="F21" s="5"/>
      <c r="G21" s="5"/>
      <c r="H21" s="5"/>
      <c r="I21" s="5"/>
      <c r="J21" s="5" t="s">
        <v>298</v>
      </c>
      <c r="K21" s="5" t="s">
        <v>298</v>
      </c>
      <c r="L21" s="5"/>
      <c r="M21" s="5"/>
      <c r="N21" s="68" t="s">
        <v>618</v>
      </c>
    </row>
    <row r="22" spans="1:14" ht="21.95" customHeight="1" x14ac:dyDescent="0.25">
      <c r="A22" s="10" t="s">
        <v>195</v>
      </c>
      <c r="B22" s="19" t="s">
        <v>625</v>
      </c>
      <c r="C22" s="69" t="s">
        <v>626</v>
      </c>
      <c r="D22" s="19"/>
      <c r="E22" s="69" t="s">
        <v>200</v>
      </c>
      <c r="F22" s="69" t="s">
        <v>201</v>
      </c>
      <c r="G22" s="19"/>
      <c r="H22" s="19"/>
      <c r="I22" s="19"/>
      <c r="J22" s="19" t="s">
        <v>298</v>
      </c>
      <c r="K22" s="19" t="s">
        <v>298</v>
      </c>
      <c r="L22" s="19"/>
      <c r="M22" s="19"/>
      <c r="N22" s="69" t="s">
        <v>627</v>
      </c>
    </row>
    <row r="23" spans="1:14" ht="21.95" customHeight="1" x14ac:dyDescent="0.25">
      <c r="A23" s="10" t="s">
        <v>202</v>
      </c>
      <c r="B23" s="19" t="s">
        <v>625</v>
      </c>
      <c r="C23" s="69" t="s">
        <v>628</v>
      </c>
      <c r="D23" s="19"/>
      <c r="E23" s="69" t="s">
        <v>206</v>
      </c>
      <c r="F23" s="69" t="s">
        <v>207</v>
      </c>
      <c r="G23" s="19"/>
      <c r="H23" s="19"/>
      <c r="I23" s="19"/>
      <c r="J23" s="19" t="s">
        <v>298</v>
      </c>
      <c r="K23" s="19" t="s">
        <v>298</v>
      </c>
      <c r="L23" s="19"/>
      <c r="M23" s="19"/>
      <c r="N23" s="69" t="s">
        <v>629</v>
      </c>
    </row>
    <row r="24" spans="1:14" ht="21.95" customHeight="1" x14ac:dyDescent="0.25">
      <c r="A24" s="10" t="s">
        <v>208</v>
      </c>
      <c r="B24" s="19" t="s">
        <v>625</v>
      </c>
      <c r="C24" s="69" t="s">
        <v>630</v>
      </c>
      <c r="D24" s="19"/>
      <c r="E24" s="69" t="s">
        <v>212</v>
      </c>
      <c r="F24" s="69" t="s">
        <v>631</v>
      </c>
      <c r="G24" s="19"/>
      <c r="H24" s="19"/>
      <c r="I24" s="19"/>
      <c r="J24" s="19" t="s">
        <v>298</v>
      </c>
      <c r="K24" s="19" t="s">
        <v>298</v>
      </c>
      <c r="L24" s="19"/>
      <c r="M24" s="19"/>
      <c r="N24" s="69" t="s">
        <v>632</v>
      </c>
    </row>
    <row r="25" spans="1:14" ht="21.95" customHeight="1" x14ac:dyDescent="0.25">
      <c r="A25" s="10" t="s">
        <v>214</v>
      </c>
      <c r="B25" s="19" t="s">
        <v>625</v>
      </c>
      <c r="C25" s="69" t="s">
        <v>633</v>
      </c>
      <c r="D25" s="19"/>
      <c r="E25" s="69" t="s">
        <v>218</v>
      </c>
      <c r="F25" s="19"/>
      <c r="G25" s="19"/>
      <c r="H25" s="19"/>
      <c r="I25" s="19"/>
      <c r="J25" s="19" t="s">
        <v>298</v>
      </c>
      <c r="K25" s="19" t="s">
        <v>298</v>
      </c>
      <c r="L25" s="19"/>
      <c r="M25" s="19"/>
      <c r="N25" s="69" t="s">
        <v>634</v>
      </c>
    </row>
    <row r="27" spans="1:14" ht="20.100000000000001" customHeight="1" x14ac:dyDescent="0.25">
      <c r="A27" s="99" t="s">
        <v>635</v>
      </c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</row>
    <row r="28" spans="1:14" ht="30" customHeight="1" x14ac:dyDescent="0.25">
      <c r="A28" s="1" t="s">
        <v>280</v>
      </c>
      <c r="B28" s="1" t="s">
        <v>636</v>
      </c>
      <c r="C28" s="1" t="s">
        <v>39</v>
      </c>
      <c r="D28" s="1" t="s">
        <v>127</v>
      </c>
      <c r="E28" s="1" t="s">
        <v>637</v>
      </c>
      <c r="F28" s="1" t="s">
        <v>638</v>
      </c>
      <c r="G28" s="1" t="s">
        <v>639</v>
      </c>
      <c r="H28" s="1" t="s">
        <v>640</v>
      </c>
      <c r="I28" s="1" t="s">
        <v>290</v>
      </c>
      <c r="J28" s="1" t="s">
        <v>641</v>
      </c>
      <c r="K28" s="1" t="s">
        <v>291</v>
      </c>
      <c r="L28" s="1" t="s">
        <v>642</v>
      </c>
      <c r="M28" s="1" t="s">
        <v>643</v>
      </c>
      <c r="N28" s="1" t="s">
        <v>644</v>
      </c>
    </row>
    <row r="29" spans="1:14" ht="21.95" customHeight="1" x14ac:dyDescent="0.25">
      <c r="A29" s="5" t="s">
        <v>296</v>
      </c>
      <c r="B29" s="5" t="s">
        <v>14</v>
      </c>
      <c r="C29" s="5" t="s">
        <v>297</v>
      </c>
      <c r="D29" s="5"/>
      <c r="E29" s="5"/>
      <c r="F29" s="5"/>
      <c r="G29" s="5"/>
      <c r="H29" s="5"/>
      <c r="I29" s="5"/>
      <c r="J29" s="5"/>
      <c r="K29" s="5"/>
      <c r="L29" s="5"/>
      <c r="M29" s="5" t="s">
        <v>329</v>
      </c>
      <c r="N29" s="5"/>
    </row>
    <row r="30" spans="1:14" ht="21.95" customHeight="1" x14ac:dyDescent="0.25">
      <c r="A30" s="4" t="s">
        <v>302</v>
      </c>
      <c r="B30" s="4" t="s">
        <v>15</v>
      </c>
      <c r="C30" s="4" t="s">
        <v>303</v>
      </c>
      <c r="D30" s="4"/>
      <c r="E30" s="4"/>
      <c r="F30" s="4"/>
      <c r="G30" s="4"/>
      <c r="H30" s="4"/>
      <c r="I30" s="4"/>
      <c r="J30" s="4"/>
      <c r="K30" s="4"/>
      <c r="L30" s="4"/>
      <c r="M30" s="4" t="s">
        <v>341</v>
      </c>
      <c r="N30" s="4"/>
    </row>
    <row r="31" spans="1:14" ht="21.95" customHeight="1" x14ac:dyDescent="0.25">
      <c r="A31" s="5" t="s">
        <v>307</v>
      </c>
      <c r="B31" s="5" t="s">
        <v>16</v>
      </c>
      <c r="C31" s="5" t="s">
        <v>308</v>
      </c>
      <c r="D31" s="5"/>
      <c r="E31" s="5"/>
      <c r="F31" s="5"/>
      <c r="G31" s="5"/>
      <c r="H31" s="5"/>
      <c r="I31" s="5"/>
      <c r="J31" s="5"/>
      <c r="K31" s="5"/>
      <c r="L31" s="5"/>
      <c r="M31" s="5" t="s">
        <v>373</v>
      </c>
      <c r="N31" s="5"/>
    </row>
    <row r="32" spans="1:14" ht="21.95" customHeight="1" x14ac:dyDescent="0.25">
      <c r="A32" s="19" t="s">
        <v>91</v>
      </c>
      <c r="B32" s="19" t="s">
        <v>17</v>
      </c>
      <c r="C32" s="19" t="s">
        <v>308</v>
      </c>
      <c r="D32" s="19"/>
      <c r="E32" s="19"/>
      <c r="F32" s="19"/>
      <c r="G32" s="19"/>
      <c r="H32" s="19"/>
      <c r="I32" s="19"/>
      <c r="J32" s="19"/>
      <c r="K32" s="19"/>
      <c r="L32" s="19"/>
      <c r="M32" s="19" t="s">
        <v>194</v>
      </c>
      <c r="N32" s="19" t="s">
        <v>645</v>
      </c>
    </row>
  </sheetData>
  <mergeCells count="4">
    <mergeCell ref="A4:N4"/>
    <mergeCell ref="A27:N27"/>
    <mergeCell ref="A2:N2"/>
    <mergeCell ref="A1:N1"/>
  </mergeCells>
  <conditionalFormatting sqref="H6:K36">
    <cfRule type="expression" dxfId="3" priority="1">
      <formula>AND(H6&lt;&gt;"",H6&lt;TODAY()+60)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B4400"/>
  </sheetPr>
  <dimension ref="A1:L39"/>
  <sheetViews>
    <sheetView showGridLines="0" workbookViewId="0">
      <pane ySplit="5" topLeftCell="A6" activePane="bottomLeft" state="frozen"/>
      <selection pane="bottomLeft" sqref="A1:L1"/>
    </sheetView>
  </sheetViews>
  <sheetFormatPr defaultRowHeight="15" x14ac:dyDescent="0.25"/>
  <cols>
    <col min="1" max="1" width="10" customWidth="1"/>
    <col min="2" max="2" width="20" customWidth="1"/>
    <col min="3" max="3" width="34" customWidth="1"/>
    <col min="4" max="4" width="18" customWidth="1"/>
    <col min="5" max="5" width="22" customWidth="1"/>
    <col min="6" max="6" width="14" customWidth="1"/>
    <col min="7" max="9" width="16" customWidth="1"/>
    <col min="10" max="11" width="18" customWidth="1"/>
    <col min="12" max="12" width="36" customWidth="1"/>
  </cols>
  <sheetData>
    <row r="1" spans="1:12" ht="27.95" customHeight="1" x14ac:dyDescent="0.25">
      <c r="A1" s="89" t="s">
        <v>646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15.95" customHeight="1" x14ac:dyDescent="0.25">
      <c r="A2" s="100" t="s">
        <v>647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2" ht="8.1" customHeight="1" x14ac:dyDescent="0.25"/>
    <row r="4" spans="1:12" ht="20.100000000000001" customHeight="1" x14ac:dyDescent="0.25">
      <c r="A4" s="101" t="s">
        <v>648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</row>
    <row r="5" spans="1:12" ht="27.95" customHeight="1" x14ac:dyDescent="0.25">
      <c r="A5" s="1" t="s">
        <v>40</v>
      </c>
      <c r="B5" s="1" t="s">
        <v>323</v>
      </c>
      <c r="C5" s="1" t="s">
        <v>649</v>
      </c>
      <c r="D5" s="1" t="s">
        <v>650</v>
      </c>
      <c r="E5" s="1" t="s">
        <v>651</v>
      </c>
      <c r="F5" s="1" t="s">
        <v>652</v>
      </c>
      <c r="G5" s="1" t="s">
        <v>653</v>
      </c>
      <c r="H5" s="1" t="s">
        <v>654</v>
      </c>
      <c r="I5" s="1" t="s">
        <v>655</v>
      </c>
      <c r="J5" s="1" t="s">
        <v>656</v>
      </c>
      <c r="K5" s="1" t="s">
        <v>657</v>
      </c>
      <c r="L5" s="1" t="s">
        <v>534</v>
      </c>
    </row>
    <row r="6" spans="1:12" ht="21.95" customHeight="1" x14ac:dyDescent="0.25">
      <c r="A6" s="20">
        <v>1</v>
      </c>
      <c r="B6" s="8" t="s">
        <v>658</v>
      </c>
      <c r="C6" s="8" t="s">
        <v>659</v>
      </c>
      <c r="D6" s="8" t="s">
        <v>535</v>
      </c>
      <c r="E6" s="8" t="s">
        <v>660</v>
      </c>
      <c r="F6" s="8" t="s">
        <v>661</v>
      </c>
      <c r="G6" s="8"/>
      <c r="H6" s="8"/>
      <c r="I6" s="8"/>
      <c r="J6" s="8" t="s">
        <v>662</v>
      </c>
      <c r="K6" s="8" t="s">
        <v>663</v>
      </c>
      <c r="L6" s="8" t="s">
        <v>664</v>
      </c>
    </row>
    <row r="7" spans="1:12" ht="21.95" customHeight="1" x14ac:dyDescent="0.25">
      <c r="A7" s="20">
        <v>2</v>
      </c>
      <c r="B7" s="8" t="s">
        <v>658</v>
      </c>
      <c r="C7" s="8" t="s">
        <v>665</v>
      </c>
      <c r="D7" s="8" t="s">
        <v>535</v>
      </c>
      <c r="E7" s="8" t="s">
        <v>660</v>
      </c>
      <c r="F7" s="8" t="s">
        <v>661</v>
      </c>
      <c r="G7" s="8"/>
      <c r="H7" s="8"/>
      <c r="I7" s="8"/>
      <c r="J7" s="8" t="s">
        <v>662</v>
      </c>
      <c r="K7" s="8" t="s">
        <v>663</v>
      </c>
      <c r="L7" s="8" t="s">
        <v>664</v>
      </c>
    </row>
    <row r="8" spans="1:12" ht="21.95" customHeight="1" x14ac:dyDescent="0.25">
      <c r="A8" s="21">
        <v>3</v>
      </c>
      <c r="B8" s="12" t="s">
        <v>666</v>
      </c>
      <c r="C8" s="12" t="s">
        <v>667</v>
      </c>
      <c r="D8" s="12" t="s">
        <v>535</v>
      </c>
      <c r="E8" s="12" t="s">
        <v>296</v>
      </c>
      <c r="F8" s="12" t="s">
        <v>668</v>
      </c>
      <c r="G8" s="12"/>
      <c r="H8" s="12"/>
      <c r="I8" s="12"/>
      <c r="J8" s="12" t="s">
        <v>662</v>
      </c>
      <c r="K8" s="12" t="s">
        <v>663</v>
      </c>
      <c r="L8" s="12" t="s">
        <v>669</v>
      </c>
    </row>
    <row r="9" spans="1:12" ht="21.95" customHeight="1" x14ac:dyDescent="0.25">
      <c r="A9" s="21">
        <v>4</v>
      </c>
      <c r="B9" s="12" t="s">
        <v>666</v>
      </c>
      <c r="C9" s="12" t="s">
        <v>670</v>
      </c>
      <c r="D9" s="12" t="s">
        <v>535</v>
      </c>
      <c r="E9" s="12" t="s">
        <v>302</v>
      </c>
      <c r="F9" s="12" t="s">
        <v>668</v>
      </c>
      <c r="G9" s="12"/>
      <c r="H9" s="12"/>
      <c r="I9" s="12"/>
      <c r="J9" s="12" t="s">
        <v>662</v>
      </c>
      <c r="K9" s="12" t="s">
        <v>663</v>
      </c>
      <c r="L9" s="12" t="s">
        <v>671</v>
      </c>
    </row>
    <row r="10" spans="1:12" ht="21.95" customHeight="1" x14ac:dyDescent="0.25">
      <c r="A10" s="21">
        <v>5</v>
      </c>
      <c r="B10" s="12" t="s">
        <v>666</v>
      </c>
      <c r="C10" s="12" t="s">
        <v>672</v>
      </c>
      <c r="D10" s="12" t="s">
        <v>535</v>
      </c>
      <c r="E10" s="12" t="s">
        <v>307</v>
      </c>
      <c r="F10" s="12" t="s">
        <v>668</v>
      </c>
      <c r="G10" s="12"/>
      <c r="H10" s="12"/>
      <c r="I10" s="12"/>
      <c r="J10" s="12" t="s">
        <v>662</v>
      </c>
      <c r="K10" s="12" t="s">
        <v>663</v>
      </c>
      <c r="L10" s="12" t="s">
        <v>671</v>
      </c>
    </row>
    <row r="11" spans="1:12" ht="21.95" customHeight="1" x14ac:dyDescent="0.25">
      <c r="A11" s="21">
        <v>6</v>
      </c>
      <c r="B11" s="12" t="s">
        <v>666</v>
      </c>
      <c r="C11" s="12" t="s">
        <v>673</v>
      </c>
      <c r="D11" s="12" t="s">
        <v>535</v>
      </c>
      <c r="E11" s="12" t="s">
        <v>296</v>
      </c>
      <c r="F11" s="12" t="s">
        <v>661</v>
      </c>
      <c r="G11" s="12"/>
      <c r="H11" s="12"/>
      <c r="I11" s="12"/>
      <c r="J11" s="12" t="s">
        <v>662</v>
      </c>
      <c r="K11" s="12" t="s">
        <v>663</v>
      </c>
      <c r="L11" s="12"/>
    </row>
    <row r="12" spans="1:12" ht="21.95" customHeight="1" x14ac:dyDescent="0.25">
      <c r="A12" s="21">
        <v>7</v>
      </c>
      <c r="B12" s="12" t="s">
        <v>666</v>
      </c>
      <c r="C12" s="12" t="s">
        <v>674</v>
      </c>
      <c r="D12" s="12" t="s">
        <v>535</v>
      </c>
      <c r="E12" s="12" t="s">
        <v>302</v>
      </c>
      <c r="F12" s="12" t="s">
        <v>661</v>
      </c>
      <c r="G12" s="12"/>
      <c r="H12" s="12"/>
      <c r="I12" s="12"/>
      <c r="J12" s="12" t="s">
        <v>662</v>
      </c>
      <c r="K12" s="12" t="s">
        <v>663</v>
      </c>
      <c r="L12" s="12"/>
    </row>
    <row r="13" spans="1:12" ht="21.95" customHeight="1" x14ac:dyDescent="0.25">
      <c r="A13" s="21">
        <v>8</v>
      </c>
      <c r="B13" s="12" t="s">
        <v>666</v>
      </c>
      <c r="C13" s="12" t="s">
        <v>675</v>
      </c>
      <c r="D13" s="12" t="s">
        <v>535</v>
      </c>
      <c r="E13" s="12" t="s">
        <v>296</v>
      </c>
      <c r="F13" s="12" t="s">
        <v>661</v>
      </c>
      <c r="G13" s="12"/>
      <c r="H13" s="12"/>
      <c r="I13" s="12"/>
      <c r="J13" s="12" t="s">
        <v>662</v>
      </c>
      <c r="K13" s="12" t="s">
        <v>663</v>
      </c>
      <c r="L13" s="12"/>
    </row>
    <row r="14" spans="1:12" ht="21.95" customHeight="1" x14ac:dyDescent="0.25">
      <c r="A14" s="21">
        <v>9</v>
      </c>
      <c r="B14" s="12" t="s">
        <v>666</v>
      </c>
      <c r="C14" s="12" t="s">
        <v>676</v>
      </c>
      <c r="D14" s="12" t="s">
        <v>535</v>
      </c>
      <c r="E14" s="12" t="s">
        <v>302</v>
      </c>
      <c r="F14" s="12" t="s">
        <v>661</v>
      </c>
      <c r="G14" s="12"/>
      <c r="H14" s="12"/>
      <c r="I14" s="12"/>
      <c r="J14" s="12" t="s">
        <v>662</v>
      </c>
      <c r="K14" s="12" t="s">
        <v>663</v>
      </c>
      <c r="L14" s="12"/>
    </row>
    <row r="15" spans="1:12" ht="21.95" customHeight="1" x14ac:dyDescent="0.25">
      <c r="A15" s="22">
        <v>10</v>
      </c>
      <c r="B15" s="9" t="s">
        <v>677</v>
      </c>
      <c r="C15" s="9" t="s">
        <v>678</v>
      </c>
      <c r="D15" s="9" t="s">
        <v>535</v>
      </c>
      <c r="E15" s="9" t="s">
        <v>679</v>
      </c>
      <c r="F15" s="9" t="s">
        <v>668</v>
      </c>
      <c r="G15" s="9"/>
      <c r="H15" s="9"/>
      <c r="I15" s="9"/>
      <c r="J15" s="9" t="s">
        <v>662</v>
      </c>
      <c r="K15" s="9" t="s">
        <v>663</v>
      </c>
      <c r="L15" s="9" t="s">
        <v>680</v>
      </c>
    </row>
    <row r="16" spans="1:12" ht="21.95" customHeight="1" x14ac:dyDescent="0.25">
      <c r="A16" s="22">
        <v>11</v>
      </c>
      <c r="B16" s="9" t="s">
        <v>677</v>
      </c>
      <c r="C16" s="9" t="s">
        <v>681</v>
      </c>
      <c r="D16" s="9" t="s">
        <v>535</v>
      </c>
      <c r="E16" s="9" t="s">
        <v>106</v>
      </c>
      <c r="F16" s="9" t="s">
        <v>194</v>
      </c>
      <c r="G16" s="9"/>
      <c r="H16" s="9"/>
      <c r="I16" s="9"/>
      <c r="J16" s="9" t="s">
        <v>662</v>
      </c>
      <c r="K16" s="9" t="s">
        <v>663</v>
      </c>
      <c r="L16" s="9" t="s">
        <v>682</v>
      </c>
    </row>
    <row r="17" spans="1:12" ht="21.95" customHeight="1" x14ac:dyDescent="0.25">
      <c r="A17" s="23">
        <v>12</v>
      </c>
      <c r="B17" s="19" t="s">
        <v>683</v>
      </c>
      <c r="C17" s="19" t="s">
        <v>684</v>
      </c>
      <c r="D17" s="19" t="s">
        <v>535</v>
      </c>
      <c r="E17" s="19" t="s">
        <v>685</v>
      </c>
      <c r="F17" s="19" t="s">
        <v>661</v>
      </c>
      <c r="G17" s="19"/>
      <c r="H17" s="19"/>
      <c r="I17" s="19"/>
      <c r="J17" s="19" t="s">
        <v>662</v>
      </c>
      <c r="K17" s="19" t="s">
        <v>663</v>
      </c>
      <c r="L17" s="19" t="s">
        <v>686</v>
      </c>
    </row>
    <row r="18" spans="1:12" ht="21.95" customHeight="1" x14ac:dyDescent="0.25">
      <c r="A18" s="23">
        <v>13</v>
      </c>
      <c r="B18" s="19" t="s">
        <v>683</v>
      </c>
      <c r="C18" s="19" t="s">
        <v>687</v>
      </c>
      <c r="D18" s="19" t="s">
        <v>535</v>
      </c>
      <c r="E18" s="19" t="s">
        <v>688</v>
      </c>
      <c r="F18" s="19" t="s">
        <v>689</v>
      </c>
      <c r="G18" s="19"/>
      <c r="H18" s="19"/>
      <c r="I18" s="19"/>
      <c r="J18" s="19" t="s">
        <v>662</v>
      </c>
      <c r="K18" s="19" t="s">
        <v>663</v>
      </c>
      <c r="L18" s="19" t="s">
        <v>690</v>
      </c>
    </row>
    <row r="19" spans="1:12" ht="21.95" customHeight="1" x14ac:dyDescent="0.25">
      <c r="A19" s="23">
        <v>14</v>
      </c>
      <c r="B19" s="19" t="s">
        <v>683</v>
      </c>
      <c r="C19" s="19" t="s">
        <v>691</v>
      </c>
      <c r="D19" s="19" t="s">
        <v>692</v>
      </c>
      <c r="E19" s="19" t="s">
        <v>685</v>
      </c>
      <c r="F19" s="19" t="s">
        <v>689</v>
      </c>
      <c r="G19" s="19"/>
      <c r="H19" s="19"/>
      <c r="I19" s="19"/>
      <c r="J19" s="19" t="s">
        <v>662</v>
      </c>
      <c r="K19" s="19" t="s">
        <v>663</v>
      </c>
      <c r="L19" s="19" t="s">
        <v>693</v>
      </c>
    </row>
    <row r="20" spans="1:12" ht="21.95" customHeight="1" x14ac:dyDescent="0.25">
      <c r="A20" s="24">
        <v>15</v>
      </c>
      <c r="B20" s="25" t="s">
        <v>694</v>
      </c>
      <c r="C20" s="25" t="s">
        <v>695</v>
      </c>
      <c r="D20" s="25" t="s">
        <v>535</v>
      </c>
      <c r="E20" s="25" t="s">
        <v>696</v>
      </c>
      <c r="F20" s="25" t="s">
        <v>661</v>
      </c>
      <c r="G20" s="25"/>
      <c r="H20" s="25"/>
      <c r="I20" s="25"/>
      <c r="J20" s="25" t="s">
        <v>662</v>
      </c>
      <c r="K20" s="25" t="s">
        <v>663</v>
      </c>
      <c r="L20" s="25" t="s">
        <v>697</v>
      </c>
    </row>
    <row r="21" spans="1:12" ht="21.95" customHeight="1" x14ac:dyDescent="0.25">
      <c r="A21" s="24">
        <v>16</v>
      </c>
      <c r="B21" s="25" t="s">
        <v>694</v>
      </c>
      <c r="C21" s="25" t="s">
        <v>698</v>
      </c>
      <c r="D21" s="25" t="s">
        <v>535</v>
      </c>
      <c r="E21" s="25" t="s">
        <v>699</v>
      </c>
      <c r="F21" s="25" t="s">
        <v>661</v>
      </c>
      <c r="G21" s="25"/>
      <c r="H21" s="25"/>
      <c r="I21" s="25"/>
      <c r="J21" s="25" t="s">
        <v>662</v>
      </c>
      <c r="K21" s="25" t="s">
        <v>663</v>
      </c>
      <c r="L21" s="25" t="s">
        <v>700</v>
      </c>
    </row>
    <row r="22" spans="1:12" ht="21.95" customHeight="1" x14ac:dyDescent="0.25">
      <c r="A22" s="24">
        <v>17</v>
      </c>
      <c r="B22" s="25" t="s">
        <v>694</v>
      </c>
      <c r="C22" s="25" t="s">
        <v>701</v>
      </c>
      <c r="D22" s="25" t="s">
        <v>535</v>
      </c>
      <c r="E22" s="25" t="s">
        <v>702</v>
      </c>
      <c r="F22" s="25" t="s">
        <v>661</v>
      </c>
      <c r="G22" s="25"/>
      <c r="H22" s="25"/>
      <c r="I22" s="25"/>
      <c r="J22" s="25" t="s">
        <v>662</v>
      </c>
      <c r="K22" s="25" t="s">
        <v>663</v>
      </c>
      <c r="L22" s="25" t="s">
        <v>703</v>
      </c>
    </row>
    <row r="23" spans="1:12" ht="21.95" customHeight="1" x14ac:dyDescent="0.25">
      <c r="A23" s="3">
        <v>18</v>
      </c>
      <c r="B23" s="4" t="s">
        <v>704</v>
      </c>
      <c r="C23" s="4" t="s">
        <v>705</v>
      </c>
      <c r="D23" s="4"/>
      <c r="E23" s="4"/>
      <c r="F23" s="4"/>
      <c r="G23" s="4"/>
      <c r="H23" s="4"/>
      <c r="I23" s="4"/>
      <c r="J23" s="4" t="s">
        <v>662</v>
      </c>
      <c r="K23" s="4" t="s">
        <v>663</v>
      </c>
      <c r="L23" s="4"/>
    </row>
    <row r="24" spans="1:12" ht="20.100000000000001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ht="20.100000000000001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spans="1:12" ht="20.100000000000001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</row>
    <row r="27" spans="1:12" ht="20.100000000000001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spans="1:12" ht="20.100000000000001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20.100000000000001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20.100000000000001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</row>
    <row r="31" spans="1:12" ht="20.100000000000001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1:12" ht="20.100000000000001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spans="1:12" ht="20.100000000000001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20.100000000000001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20.100000000000001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 ht="20.100000000000001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spans="1:12" ht="20.100000000000001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1:12" ht="20.100000000000001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20.100000000000001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</sheetData>
  <mergeCells count="3">
    <mergeCell ref="A2:L2"/>
    <mergeCell ref="A1:L1"/>
    <mergeCell ref="A4:L4"/>
  </mergeCells>
  <conditionalFormatting sqref="I6:I34">
    <cfRule type="expression" dxfId="2" priority="1">
      <formula>AND(I6&lt;&gt;"",I6&lt;TODAY()+60)</formula>
    </cfRule>
    <cfRule type="expression" dxfId="1" priority="2">
      <formula>AND(I6&lt;&gt;"",I6&lt;TODAY())</formula>
    </cfRule>
  </conditionalFormatting>
  <dataValidations count="1">
    <dataValidation type="list" allowBlank="1" sqref="B6:B39" xr:uid="{00000000-0002-0000-0900-000000000000}">
      <formula1>"Vehicle Reg,Vessel,Work Permit,Tax,Compliance,Lease/Rent,Insurance,Other"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66AA"/>
  </sheetPr>
  <dimension ref="A1:K1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E9" sqref="E9"/>
    </sheetView>
  </sheetViews>
  <sheetFormatPr defaultRowHeight="15" x14ac:dyDescent="0.25"/>
  <cols>
    <col min="1" max="1" width="6" customWidth="1"/>
    <col min="2" max="2" width="12" customWidth="1"/>
    <col min="3" max="3" width="10" customWidth="1"/>
    <col min="4" max="5" width="22" customWidth="1"/>
    <col min="6" max="6" width="20" customWidth="1"/>
    <col min="7" max="7" width="40" customWidth="1"/>
    <col min="8" max="8" width="32" customWidth="1"/>
    <col min="9" max="9" width="14" customWidth="1"/>
    <col min="10" max="10" width="22" customWidth="1"/>
    <col min="11" max="11" width="10" customWidth="1"/>
  </cols>
  <sheetData>
    <row r="1" spans="1:11" ht="27.95" customHeight="1" x14ac:dyDescent="0.25">
      <c r="A1" s="89" t="s">
        <v>706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15.95" customHeight="1" x14ac:dyDescent="0.25">
      <c r="A2" s="93" t="s">
        <v>707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8.1" customHeight="1" x14ac:dyDescent="0.25"/>
    <row r="4" spans="1:11" ht="27.95" customHeight="1" x14ac:dyDescent="0.25">
      <c r="A4" s="1" t="s">
        <v>38</v>
      </c>
      <c r="B4" s="1" t="s">
        <v>466</v>
      </c>
      <c r="C4" s="1" t="s">
        <v>708</v>
      </c>
      <c r="D4" s="1" t="s">
        <v>709</v>
      </c>
      <c r="E4" s="1" t="s">
        <v>685</v>
      </c>
      <c r="F4" s="1" t="s">
        <v>710</v>
      </c>
      <c r="G4" s="1" t="s">
        <v>711</v>
      </c>
      <c r="H4" s="1" t="s">
        <v>712</v>
      </c>
      <c r="I4" s="1" t="s">
        <v>713</v>
      </c>
      <c r="J4" s="1" t="s">
        <v>714</v>
      </c>
      <c r="K4" s="1" t="s">
        <v>715</v>
      </c>
    </row>
    <row r="5" spans="1:11" ht="21.95" customHeight="1" x14ac:dyDescent="0.25">
      <c r="A5" s="26">
        <v>1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ht="21.95" customHeight="1" x14ac:dyDescent="0.25">
      <c r="A6" s="27">
        <v>2</v>
      </c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21.95" customHeight="1" x14ac:dyDescent="0.25">
      <c r="A7" s="26">
        <v>3</v>
      </c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11" ht="21.95" customHeight="1" x14ac:dyDescent="0.25">
      <c r="A8" s="27">
        <v>4</v>
      </c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 ht="21.95" customHeight="1" x14ac:dyDescent="0.25">
      <c r="A9" s="26">
        <v>5</v>
      </c>
      <c r="B9" s="17"/>
      <c r="C9" s="17"/>
      <c r="D9" s="17"/>
      <c r="E9" s="17"/>
      <c r="F9" s="17"/>
      <c r="G9" s="17"/>
      <c r="H9" s="17"/>
      <c r="I9" s="17"/>
      <c r="J9" s="17"/>
      <c r="K9" s="17"/>
    </row>
    <row r="10" spans="1:11" ht="21.95" customHeight="1" x14ac:dyDescent="0.25">
      <c r="A10" s="27">
        <v>6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</row>
    <row r="11" spans="1:11" ht="21.95" customHeight="1" x14ac:dyDescent="0.25">
      <c r="A11" s="26">
        <v>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</row>
    <row r="12" spans="1:11" ht="21.95" customHeight="1" x14ac:dyDescent="0.25">
      <c r="A12" s="27">
        <v>8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1" ht="21.95" customHeight="1" x14ac:dyDescent="0.25">
      <c r="A13" s="26">
        <v>9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1" ht="21.95" customHeight="1" x14ac:dyDescent="0.25">
      <c r="A14" s="27">
        <v>10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</row>
    <row r="15" spans="1:11" ht="21.95" customHeight="1" x14ac:dyDescent="0.25">
      <c r="A15" s="26">
        <v>11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1" ht="21.95" customHeight="1" x14ac:dyDescent="0.25">
      <c r="A16" s="27">
        <v>12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21.95" customHeight="1" x14ac:dyDescent="0.25">
      <c r="A17" s="26">
        <v>13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21.95" customHeight="1" x14ac:dyDescent="0.25">
      <c r="A18" s="27">
        <v>14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1" ht="21.95" customHeight="1" x14ac:dyDescent="0.25">
      <c r="A19" s="26">
        <v>15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1:11" ht="21.95" customHeight="1" x14ac:dyDescent="0.25">
      <c r="A20" s="27">
        <v>16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</row>
    <row r="21" spans="1:11" ht="21.95" customHeight="1" x14ac:dyDescent="0.25">
      <c r="A21" s="26">
        <v>17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1:11" ht="21.95" customHeight="1" x14ac:dyDescent="0.25">
      <c r="A22" s="27">
        <v>18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21.95" customHeight="1" x14ac:dyDescent="0.25">
      <c r="A23" s="26">
        <v>19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1:11" ht="21.95" customHeight="1" x14ac:dyDescent="0.25">
      <c r="A24" s="27">
        <v>20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ht="21.95" customHeight="1" x14ac:dyDescent="0.25">
      <c r="A25" s="26">
        <v>21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1:11" ht="21.95" customHeight="1" x14ac:dyDescent="0.25">
      <c r="A26" s="27">
        <v>22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21.95" customHeight="1" x14ac:dyDescent="0.25">
      <c r="A27" s="26">
        <v>23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 ht="21.95" customHeight="1" x14ac:dyDescent="0.25">
      <c r="A28" s="27">
        <v>24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21.95" customHeight="1" x14ac:dyDescent="0.25">
      <c r="A29" s="26">
        <v>25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 ht="21.95" customHeight="1" x14ac:dyDescent="0.25">
      <c r="A30" s="27">
        <v>26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21.95" customHeight="1" x14ac:dyDescent="0.25">
      <c r="A31" s="26">
        <v>27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ht="21.95" customHeight="1" x14ac:dyDescent="0.25">
      <c r="A32" s="27">
        <v>28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21.95" customHeight="1" x14ac:dyDescent="0.25">
      <c r="A33" s="26">
        <v>29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pans="1:11" ht="21.95" customHeight="1" x14ac:dyDescent="0.25">
      <c r="A34" s="27">
        <v>30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21.95" customHeight="1" x14ac:dyDescent="0.25">
      <c r="A35" s="26">
        <v>31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spans="1:11" ht="21.95" customHeight="1" x14ac:dyDescent="0.25">
      <c r="A36" s="27">
        <v>32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21.95" customHeight="1" x14ac:dyDescent="0.25">
      <c r="A37" s="26">
        <v>33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1" ht="21.95" customHeight="1" x14ac:dyDescent="0.25">
      <c r="A38" s="27">
        <v>34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21.95" customHeight="1" x14ac:dyDescent="0.25">
      <c r="A39" s="26">
        <v>35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1:11" ht="21.95" customHeight="1" x14ac:dyDescent="0.25">
      <c r="A40" s="27">
        <v>36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21.95" customHeight="1" x14ac:dyDescent="0.25">
      <c r="A41" s="26">
        <v>37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</row>
    <row r="42" spans="1:11" ht="21.95" customHeight="1" x14ac:dyDescent="0.25">
      <c r="A42" s="27">
        <v>38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21.95" customHeight="1" x14ac:dyDescent="0.25">
      <c r="A43" s="26">
        <v>39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</row>
    <row r="44" spans="1:11" ht="21.95" customHeight="1" x14ac:dyDescent="0.25">
      <c r="A44" s="27">
        <v>40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21.95" customHeight="1" x14ac:dyDescent="0.25">
      <c r="A45" s="26">
        <v>41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ht="21.95" customHeight="1" x14ac:dyDescent="0.25">
      <c r="A46" s="27">
        <v>42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21.95" customHeight="1" x14ac:dyDescent="0.25">
      <c r="A47" s="26">
        <v>43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</row>
    <row r="48" spans="1:11" ht="21.95" customHeight="1" x14ac:dyDescent="0.25">
      <c r="A48" s="27">
        <v>44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21.95" customHeight="1" x14ac:dyDescent="0.25">
      <c r="A49" s="26">
        <v>45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</row>
    <row r="50" spans="1:11" ht="21.95" customHeight="1" x14ac:dyDescent="0.25">
      <c r="A50" s="27">
        <v>46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21.95" customHeight="1" x14ac:dyDescent="0.25">
      <c r="A51" s="26">
        <v>47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</row>
    <row r="52" spans="1:11" ht="21.95" customHeight="1" x14ac:dyDescent="0.25">
      <c r="A52" s="27">
        <v>48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ht="21.95" customHeight="1" x14ac:dyDescent="0.25">
      <c r="A53" s="26">
        <v>49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</row>
    <row r="54" spans="1:11" ht="21.95" customHeight="1" x14ac:dyDescent="0.25">
      <c r="A54" s="27">
        <v>50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 ht="21.95" customHeight="1" x14ac:dyDescent="0.25">
      <c r="A55" s="26">
        <v>51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</row>
    <row r="56" spans="1:11" ht="21.95" customHeight="1" x14ac:dyDescent="0.25">
      <c r="A56" s="27">
        <v>52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21.95" customHeight="1" x14ac:dyDescent="0.25">
      <c r="A57" s="26">
        <v>53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</row>
    <row r="58" spans="1:11" ht="21.95" customHeight="1" x14ac:dyDescent="0.25">
      <c r="A58" s="27">
        <v>54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 ht="21.95" customHeight="1" x14ac:dyDescent="0.25">
      <c r="A59" s="26">
        <v>55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1" ht="21.95" customHeight="1" x14ac:dyDescent="0.25">
      <c r="A60" s="27">
        <v>56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1" ht="21.95" customHeight="1" x14ac:dyDescent="0.25">
      <c r="A61" s="26">
        <v>57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spans="1:11" ht="21.95" customHeight="1" x14ac:dyDescent="0.25">
      <c r="A62" s="27">
        <v>58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 ht="21.95" customHeight="1" x14ac:dyDescent="0.25">
      <c r="A63" s="26">
        <v>59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 ht="21.95" customHeight="1" x14ac:dyDescent="0.25">
      <c r="A64" s="27">
        <v>60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 ht="21.95" customHeight="1" x14ac:dyDescent="0.25">
      <c r="A65" s="26">
        <v>61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pans="1:11" ht="21.95" customHeight="1" x14ac:dyDescent="0.25">
      <c r="A66" s="27">
        <v>62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 ht="21.95" customHeight="1" x14ac:dyDescent="0.25">
      <c r="A67" s="26">
        <v>63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</row>
    <row r="68" spans="1:11" ht="21.95" customHeight="1" x14ac:dyDescent="0.25">
      <c r="A68" s="27">
        <v>64</v>
      </c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 ht="21.95" customHeight="1" x14ac:dyDescent="0.25">
      <c r="A69" s="26">
        <v>65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</row>
    <row r="70" spans="1:11" ht="21.95" customHeight="1" x14ac:dyDescent="0.25">
      <c r="A70" s="27">
        <v>66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ht="21.95" customHeight="1" x14ac:dyDescent="0.25">
      <c r="A71" s="26">
        <v>67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</row>
    <row r="72" spans="1:11" ht="21.95" customHeight="1" x14ac:dyDescent="0.25">
      <c r="A72" s="27">
        <v>68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 ht="21.95" customHeight="1" x14ac:dyDescent="0.25">
      <c r="A73" s="26">
        <v>69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spans="1:11" ht="21.95" customHeight="1" x14ac:dyDescent="0.25">
      <c r="A74" s="27">
        <v>70</v>
      </c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1" ht="21.95" customHeight="1" x14ac:dyDescent="0.25">
      <c r="A75" s="26">
        <v>71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</row>
    <row r="76" spans="1:11" ht="21.95" customHeight="1" x14ac:dyDescent="0.25">
      <c r="A76" s="27">
        <v>72</v>
      </c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 ht="21.95" customHeight="1" x14ac:dyDescent="0.25">
      <c r="A77" s="26">
        <v>73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</row>
    <row r="78" spans="1:11" ht="21.95" customHeight="1" x14ac:dyDescent="0.25">
      <c r="A78" s="27">
        <v>74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21.95" customHeight="1" x14ac:dyDescent="0.25">
      <c r="A79" s="26">
        <v>75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</row>
    <row r="80" spans="1:11" ht="21.95" customHeight="1" x14ac:dyDescent="0.25">
      <c r="A80" s="27">
        <v>76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ht="21.95" customHeight="1" x14ac:dyDescent="0.25">
      <c r="A81" s="26">
        <v>77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</row>
    <row r="82" spans="1:11" ht="21.95" customHeight="1" x14ac:dyDescent="0.25">
      <c r="A82" s="27">
        <v>78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 ht="21.95" customHeight="1" x14ac:dyDescent="0.25">
      <c r="A83" s="26">
        <v>79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</row>
    <row r="84" spans="1:11" ht="21.95" customHeight="1" x14ac:dyDescent="0.25">
      <c r="A84" s="27">
        <v>80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ht="21.95" customHeight="1" x14ac:dyDescent="0.25">
      <c r="A85" s="26">
        <v>81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</row>
    <row r="86" spans="1:11" ht="21.95" customHeight="1" x14ac:dyDescent="0.25">
      <c r="A86" s="27">
        <v>82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 ht="21.95" customHeight="1" x14ac:dyDescent="0.25">
      <c r="A87" s="26">
        <v>83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</row>
    <row r="88" spans="1:11" ht="21.95" customHeight="1" x14ac:dyDescent="0.25">
      <c r="A88" s="27">
        <v>84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21.95" customHeight="1" x14ac:dyDescent="0.25">
      <c r="A89" s="26">
        <v>85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</row>
    <row r="90" spans="1:11" ht="21.95" customHeight="1" x14ac:dyDescent="0.25">
      <c r="A90" s="27">
        <v>86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 ht="21.95" customHeight="1" x14ac:dyDescent="0.25">
      <c r="A91" s="26">
        <v>87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</row>
    <row r="92" spans="1:11" ht="21.95" customHeight="1" x14ac:dyDescent="0.25">
      <c r="A92" s="27">
        <v>88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ht="21.95" customHeight="1" x14ac:dyDescent="0.25">
      <c r="A93" s="26">
        <v>89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</row>
    <row r="94" spans="1:11" ht="21.95" customHeight="1" x14ac:dyDescent="0.25">
      <c r="A94" s="27">
        <v>90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 ht="21.95" customHeight="1" x14ac:dyDescent="0.25">
      <c r="A95" s="26">
        <v>91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spans="1:11" ht="21.95" customHeight="1" x14ac:dyDescent="0.25">
      <c r="A96" s="27">
        <v>92</v>
      </c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ht="21.95" customHeight="1" x14ac:dyDescent="0.25">
      <c r="A97" s="26">
        <v>93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spans="1:11" ht="21.95" customHeight="1" x14ac:dyDescent="0.25">
      <c r="A98" s="27">
        <v>94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spans="1:11" ht="21.95" customHeight="1" x14ac:dyDescent="0.25">
      <c r="A99" s="26">
        <v>95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</row>
    <row r="100" spans="1:11" ht="21.95" customHeight="1" x14ac:dyDescent="0.25">
      <c r="A100" s="27">
        <v>96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 ht="21.95" customHeight="1" x14ac:dyDescent="0.25">
      <c r="A101" s="26">
        <v>97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</row>
    <row r="102" spans="1:11" ht="21.95" customHeight="1" x14ac:dyDescent="0.25">
      <c r="A102" s="27">
        <v>98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spans="1:11" ht="21.95" customHeight="1" x14ac:dyDescent="0.25">
      <c r="A103" s="26">
        <v>99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</row>
    <row r="104" spans="1:11" ht="21.95" customHeight="1" x14ac:dyDescent="0.25">
      <c r="A104" s="27">
        <v>100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</sheetData>
  <mergeCells count="2">
    <mergeCell ref="A2:K2"/>
    <mergeCell ref="A1:K1"/>
  </mergeCells>
  <dataValidations count="3">
    <dataValidation type="list" allowBlank="1" sqref="F5:F105" xr:uid="{00000000-0002-0000-0A00-000000000000}">
      <formula1>"Rental Inquiry,PR/Parts Request,Delivery Follow-up,Supplier,Director,Site Update,General,Other"</formula1>
    </dataValidation>
    <dataValidation type="list" allowBlank="1" sqref="J5:J105" xr:uid="{00000000-0002-0000-0A00-000001000000}">
      <formula1>"Yes — PR Log,Yes — Rental Log,No action needed,Pending"</formula1>
    </dataValidation>
    <dataValidation type="list" allowBlank="1" sqref="K5:K105" xr:uid="{00000000-0002-0000-0A00-000002000000}">
      <formula1>"Yes,No,Pending"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8860A"/>
  </sheetPr>
  <dimension ref="A1:J10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17" sqref="E17"/>
    </sheetView>
  </sheetViews>
  <sheetFormatPr defaultRowHeight="15" x14ac:dyDescent="0.25"/>
  <cols>
    <col min="1" max="1" width="13" customWidth="1"/>
    <col min="2" max="3" width="22" customWidth="1"/>
    <col min="4" max="4" width="28" customWidth="1"/>
    <col min="5" max="5" width="22" customWidth="1"/>
    <col min="6" max="6" width="26" customWidth="1"/>
    <col min="7" max="7" width="24" customWidth="1"/>
    <col min="8" max="8" width="28" customWidth="1"/>
    <col min="9" max="9" width="22" customWidth="1"/>
    <col min="10" max="10" width="34" customWidth="1"/>
  </cols>
  <sheetData>
    <row r="1" spans="1:10" ht="27.95" customHeight="1" x14ac:dyDescent="0.25">
      <c r="A1" s="89" t="s">
        <v>716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5.95" customHeight="1" x14ac:dyDescent="0.25">
      <c r="A2" s="98" t="s">
        <v>717</v>
      </c>
      <c r="B2" s="71"/>
      <c r="C2" s="71"/>
      <c r="D2" s="71"/>
      <c r="E2" s="71"/>
      <c r="F2" s="71"/>
      <c r="G2" s="71"/>
      <c r="H2" s="71"/>
      <c r="I2" s="71"/>
      <c r="J2" s="71"/>
    </row>
    <row r="3" spans="1:10" ht="8.1" customHeight="1" x14ac:dyDescent="0.25"/>
    <row r="4" spans="1:10" ht="30" customHeight="1" x14ac:dyDescent="0.25">
      <c r="A4" s="1" t="s">
        <v>466</v>
      </c>
      <c r="B4" s="1" t="s">
        <v>718</v>
      </c>
      <c r="C4" s="1" t="s">
        <v>719</v>
      </c>
      <c r="D4" s="1" t="s">
        <v>720</v>
      </c>
      <c r="E4" s="1" t="s">
        <v>721</v>
      </c>
      <c r="F4" s="1" t="s">
        <v>722</v>
      </c>
      <c r="G4" s="1" t="s">
        <v>723</v>
      </c>
      <c r="H4" s="1" t="s">
        <v>724</v>
      </c>
      <c r="I4" s="1" t="s">
        <v>725</v>
      </c>
      <c r="J4" s="1" t="s">
        <v>726</v>
      </c>
    </row>
    <row r="5" spans="1:10" ht="51" x14ac:dyDescent="0.25">
      <c r="A5" s="66" t="s">
        <v>478</v>
      </c>
      <c r="B5" s="66" t="s">
        <v>727</v>
      </c>
      <c r="C5" s="66"/>
      <c r="D5" s="66" t="s">
        <v>728</v>
      </c>
      <c r="E5" s="66"/>
      <c r="F5" s="66"/>
      <c r="G5" s="66"/>
      <c r="H5" s="66" t="s">
        <v>729</v>
      </c>
      <c r="I5" s="66"/>
      <c r="J5" s="66" t="s">
        <v>730</v>
      </c>
    </row>
    <row r="6" spans="1:10" ht="38.25" x14ac:dyDescent="0.25">
      <c r="A6" s="67" t="s">
        <v>488</v>
      </c>
      <c r="B6" s="67"/>
      <c r="C6" s="67"/>
      <c r="D6" s="67" t="s">
        <v>731</v>
      </c>
      <c r="E6" s="67"/>
      <c r="F6" s="67"/>
      <c r="G6" s="67"/>
      <c r="H6" s="67"/>
      <c r="I6" s="67"/>
      <c r="J6" s="67" t="s">
        <v>732</v>
      </c>
    </row>
    <row r="7" spans="1:10" ht="38.25" x14ac:dyDescent="0.25">
      <c r="A7" s="66" t="s">
        <v>543</v>
      </c>
      <c r="B7" s="66" t="s">
        <v>542</v>
      </c>
      <c r="C7" s="66"/>
      <c r="D7" s="66" t="s">
        <v>733</v>
      </c>
      <c r="E7" s="66"/>
      <c r="F7" s="66" t="s">
        <v>734</v>
      </c>
      <c r="G7" s="66"/>
      <c r="H7" s="66"/>
      <c r="I7" s="66"/>
      <c r="J7" s="66" t="s">
        <v>735</v>
      </c>
    </row>
    <row r="8" spans="1:10" ht="38.25" x14ac:dyDescent="0.25">
      <c r="A8" s="67" t="s">
        <v>494</v>
      </c>
      <c r="B8" s="67"/>
      <c r="C8" s="67"/>
      <c r="D8" s="67" t="s">
        <v>736</v>
      </c>
      <c r="E8" s="67"/>
      <c r="F8" s="67"/>
      <c r="G8" s="67"/>
      <c r="H8" s="67" t="s">
        <v>737</v>
      </c>
      <c r="I8" s="67"/>
      <c r="J8" s="67" t="s">
        <v>738</v>
      </c>
    </row>
    <row r="9" spans="1:10" ht="38.25" x14ac:dyDescent="0.25">
      <c r="A9" s="66" t="s">
        <v>498</v>
      </c>
      <c r="B9" s="66" t="s">
        <v>83</v>
      </c>
      <c r="C9" s="66"/>
      <c r="D9" s="66" t="s">
        <v>739</v>
      </c>
      <c r="E9" s="66"/>
      <c r="F9" s="66"/>
      <c r="G9" s="66" t="s">
        <v>740</v>
      </c>
      <c r="H9" s="66"/>
      <c r="I9" s="66"/>
      <c r="J9" s="66" t="s">
        <v>741</v>
      </c>
    </row>
    <row r="10" spans="1:10" ht="102" x14ac:dyDescent="0.25">
      <c r="A10" s="67" t="s">
        <v>155</v>
      </c>
      <c r="B10" s="67" t="s">
        <v>742</v>
      </c>
      <c r="C10" s="67"/>
      <c r="D10" s="67" t="s">
        <v>743</v>
      </c>
      <c r="E10" s="67"/>
      <c r="F10" s="67" t="s">
        <v>744</v>
      </c>
      <c r="G10" s="67"/>
      <c r="H10" s="67" t="s">
        <v>745</v>
      </c>
      <c r="I10" s="67"/>
      <c r="J10" s="67" t="s">
        <v>746</v>
      </c>
    </row>
    <row r="11" spans="1:10" ht="51" x14ac:dyDescent="0.25">
      <c r="A11" s="66" t="s">
        <v>59</v>
      </c>
      <c r="B11" s="66"/>
      <c r="C11" s="66"/>
      <c r="D11" s="66" t="s">
        <v>747</v>
      </c>
      <c r="E11" s="66"/>
      <c r="F11" s="66"/>
      <c r="G11" s="66" t="s">
        <v>748</v>
      </c>
      <c r="H11" s="66" t="s">
        <v>749</v>
      </c>
      <c r="I11" s="66"/>
      <c r="J11" s="66" t="s">
        <v>750</v>
      </c>
    </row>
    <row r="12" spans="1:10" x14ac:dyDescent="0.25">
      <c r="A12" s="29"/>
      <c r="B12" s="29"/>
      <c r="C12" s="29"/>
      <c r="D12" s="29"/>
      <c r="E12" s="29"/>
      <c r="F12" s="29"/>
      <c r="G12" s="29"/>
      <c r="H12" s="29"/>
      <c r="I12" s="29"/>
      <c r="J12" s="29"/>
    </row>
    <row r="13" spans="1:10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 x14ac:dyDescent="0.25">
      <c r="A14" s="29"/>
      <c r="B14" s="29"/>
      <c r="C14" s="29"/>
      <c r="D14" s="29"/>
      <c r="E14" s="29"/>
      <c r="F14" s="29"/>
      <c r="G14" s="29"/>
      <c r="H14" s="29"/>
      <c r="I14" s="29"/>
      <c r="J14" s="29"/>
    </row>
    <row r="15" spans="1:10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</row>
    <row r="16" spans="1:10" x14ac:dyDescent="0.25">
      <c r="A16" s="29"/>
      <c r="B16" s="29"/>
      <c r="C16" s="29"/>
      <c r="D16" s="29"/>
      <c r="E16" s="29"/>
      <c r="F16" s="29"/>
      <c r="G16" s="29"/>
      <c r="H16" s="29"/>
      <c r="I16" s="29"/>
      <c r="J16" s="29"/>
    </row>
    <row r="17" spans="1:10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</row>
    <row r="18" spans="1:10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</row>
    <row r="19" spans="1:10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</row>
    <row r="21" spans="1:10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</row>
    <row r="22" spans="1:10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</row>
    <row r="23" spans="1:10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</row>
    <row r="24" spans="1:10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</row>
    <row r="25" spans="1:10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0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</row>
    <row r="27" spans="1:10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</row>
    <row r="29" spans="1:10" x14ac:dyDescent="0.25">
      <c r="A29" s="28"/>
      <c r="B29" s="28"/>
      <c r="C29" s="28"/>
      <c r="D29" s="28"/>
      <c r="E29" s="28"/>
      <c r="F29" s="28"/>
      <c r="G29" s="28"/>
      <c r="H29" s="28"/>
      <c r="I29" s="28"/>
      <c r="J29" s="28"/>
    </row>
    <row r="30" spans="1:10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</row>
    <row r="31" spans="1:10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</row>
    <row r="32" spans="1:10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</row>
    <row r="33" spans="1:10" x14ac:dyDescent="0.25">
      <c r="A33" s="28"/>
      <c r="B33" s="28"/>
      <c r="C33" s="28"/>
      <c r="D33" s="28"/>
      <c r="E33" s="28"/>
      <c r="F33" s="28"/>
      <c r="G33" s="28"/>
      <c r="H33" s="28"/>
      <c r="I33" s="28"/>
      <c r="J33" s="28"/>
    </row>
    <row r="34" spans="1:10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</row>
    <row r="35" spans="1:10" x14ac:dyDescent="0.25">
      <c r="A35" s="28"/>
      <c r="B35" s="28"/>
      <c r="C35" s="28"/>
      <c r="D35" s="28"/>
      <c r="E35" s="28"/>
      <c r="F35" s="28"/>
      <c r="G35" s="28"/>
      <c r="H35" s="28"/>
      <c r="I35" s="28"/>
      <c r="J35" s="28"/>
    </row>
    <row r="36" spans="1:10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</row>
    <row r="37" spans="1:10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</row>
    <row r="38" spans="1:10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</row>
    <row r="39" spans="1:10" x14ac:dyDescent="0.25">
      <c r="A39" s="28"/>
      <c r="B39" s="28"/>
      <c r="C39" s="28"/>
      <c r="D39" s="28"/>
      <c r="E39" s="28"/>
      <c r="F39" s="28"/>
      <c r="G39" s="28"/>
      <c r="H39" s="28"/>
      <c r="I39" s="28"/>
      <c r="J39" s="28"/>
    </row>
    <row r="40" spans="1:10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</row>
    <row r="41" spans="1:10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spans="1:10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</row>
    <row r="43" spans="1:10" x14ac:dyDescent="0.25">
      <c r="A43" s="28"/>
      <c r="B43" s="28"/>
      <c r="C43" s="28"/>
      <c r="D43" s="28"/>
      <c r="E43" s="28"/>
      <c r="F43" s="28"/>
      <c r="G43" s="28"/>
      <c r="H43" s="28"/>
      <c r="I43" s="28"/>
      <c r="J43" s="28"/>
    </row>
    <row r="44" spans="1:10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</row>
    <row r="45" spans="1:10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</row>
    <row r="46" spans="1:10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</row>
    <row r="47" spans="1:10" x14ac:dyDescent="0.25">
      <c r="A47" s="28"/>
      <c r="B47" s="28"/>
      <c r="C47" s="28"/>
      <c r="D47" s="28"/>
      <c r="E47" s="28"/>
      <c r="F47" s="28"/>
      <c r="G47" s="28"/>
      <c r="H47" s="28"/>
      <c r="I47" s="28"/>
      <c r="J47" s="28"/>
    </row>
    <row r="48" spans="1:10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</row>
    <row r="49" spans="1:10" x14ac:dyDescent="0.25">
      <c r="A49" s="28"/>
      <c r="B49" s="28"/>
      <c r="C49" s="28"/>
      <c r="D49" s="28"/>
      <c r="E49" s="28"/>
      <c r="F49" s="28"/>
      <c r="G49" s="28"/>
      <c r="H49" s="28"/>
      <c r="I49" s="28"/>
      <c r="J49" s="28"/>
    </row>
    <row r="50" spans="1:10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</row>
    <row r="51" spans="1:10" x14ac:dyDescent="0.25">
      <c r="A51" s="28"/>
      <c r="B51" s="28"/>
      <c r="C51" s="28"/>
      <c r="D51" s="28"/>
      <c r="E51" s="28"/>
      <c r="F51" s="28"/>
      <c r="G51" s="28"/>
      <c r="H51" s="28"/>
      <c r="I51" s="28"/>
      <c r="J51" s="28"/>
    </row>
    <row r="52" spans="1:10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</row>
    <row r="53" spans="1:10" x14ac:dyDescent="0.25">
      <c r="A53" s="28"/>
      <c r="B53" s="28"/>
      <c r="C53" s="28"/>
      <c r="D53" s="28"/>
      <c r="E53" s="28"/>
      <c r="F53" s="28"/>
      <c r="G53" s="28"/>
      <c r="H53" s="28"/>
      <c r="I53" s="28"/>
      <c r="J53" s="28"/>
    </row>
    <row r="54" spans="1:10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</row>
    <row r="55" spans="1:10" x14ac:dyDescent="0.25">
      <c r="A55" s="28"/>
      <c r="B55" s="28"/>
      <c r="C55" s="28"/>
      <c r="D55" s="28"/>
      <c r="E55" s="28"/>
      <c r="F55" s="28"/>
      <c r="G55" s="28"/>
      <c r="H55" s="28"/>
      <c r="I55" s="28"/>
      <c r="J55" s="28"/>
    </row>
    <row r="56" spans="1:10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</row>
    <row r="57" spans="1:10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</row>
    <row r="58" spans="1:10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</row>
    <row r="59" spans="1:10" x14ac:dyDescent="0.25">
      <c r="A59" s="28"/>
      <c r="B59" s="28"/>
      <c r="C59" s="28"/>
      <c r="D59" s="28"/>
      <c r="E59" s="28"/>
      <c r="F59" s="28"/>
      <c r="G59" s="28"/>
      <c r="H59" s="28"/>
      <c r="I59" s="28"/>
      <c r="J59" s="28"/>
    </row>
    <row r="60" spans="1:10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</row>
    <row r="61" spans="1:10" x14ac:dyDescent="0.25">
      <c r="A61" s="28"/>
      <c r="B61" s="28"/>
      <c r="C61" s="28"/>
      <c r="D61" s="28"/>
      <c r="E61" s="28"/>
      <c r="F61" s="28"/>
      <c r="G61" s="28"/>
      <c r="H61" s="28"/>
      <c r="I61" s="28"/>
      <c r="J61" s="28"/>
    </row>
    <row r="62" spans="1:10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</row>
    <row r="63" spans="1:10" x14ac:dyDescent="0.25">
      <c r="A63" s="28"/>
      <c r="B63" s="28"/>
      <c r="C63" s="28"/>
      <c r="D63" s="28"/>
      <c r="E63" s="28"/>
      <c r="F63" s="28"/>
      <c r="G63" s="28"/>
      <c r="H63" s="28"/>
      <c r="I63" s="28"/>
      <c r="J63" s="28"/>
    </row>
    <row r="64" spans="1:10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</row>
    <row r="65" spans="1:10" x14ac:dyDescent="0.25">
      <c r="A65" s="28"/>
      <c r="B65" s="28"/>
      <c r="C65" s="28"/>
      <c r="D65" s="28"/>
      <c r="E65" s="28"/>
      <c r="F65" s="28"/>
      <c r="G65" s="28"/>
      <c r="H65" s="28"/>
      <c r="I65" s="28"/>
      <c r="J65" s="28"/>
    </row>
    <row r="66" spans="1:10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</row>
    <row r="67" spans="1:10" x14ac:dyDescent="0.25">
      <c r="A67" s="28"/>
      <c r="B67" s="28"/>
      <c r="C67" s="28"/>
      <c r="D67" s="28"/>
      <c r="E67" s="28"/>
      <c r="F67" s="28"/>
      <c r="G67" s="28"/>
      <c r="H67" s="28"/>
      <c r="I67" s="28"/>
      <c r="J67" s="28"/>
    </row>
    <row r="68" spans="1:10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</row>
    <row r="69" spans="1:10" x14ac:dyDescent="0.25">
      <c r="A69" s="28"/>
      <c r="B69" s="28"/>
      <c r="C69" s="28"/>
      <c r="D69" s="28"/>
      <c r="E69" s="28"/>
      <c r="F69" s="28"/>
      <c r="G69" s="28"/>
      <c r="H69" s="28"/>
      <c r="I69" s="28"/>
      <c r="J69" s="28"/>
    </row>
    <row r="70" spans="1:10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</row>
    <row r="71" spans="1:10" x14ac:dyDescent="0.25">
      <c r="A71" s="28"/>
      <c r="B71" s="28"/>
      <c r="C71" s="28"/>
      <c r="D71" s="28"/>
      <c r="E71" s="28"/>
      <c r="F71" s="28"/>
      <c r="G71" s="28"/>
      <c r="H71" s="28"/>
      <c r="I71" s="28"/>
      <c r="J71" s="28"/>
    </row>
    <row r="72" spans="1:10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</row>
    <row r="73" spans="1:10" x14ac:dyDescent="0.25">
      <c r="A73" s="28"/>
      <c r="B73" s="28"/>
      <c r="C73" s="28"/>
      <c r="D73" s="28"/>
      <c r="E73" s="28"/>
      <c r="F73" s="28"/>
      <c r="G73" s="28"/>
      <c r="H73" s="28"/>
      <c r="I73" s="28"/>
      <c r="J73" s="28"/>
    </row>
    <row r="74" spans="1:10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</row>
    <row r="75" spans="1:10" x14ac:dyDescent="0.25">
      <c r="A75" s="28"/>
      <c r="B75" s="28"/>
      <c r="C75" s="28"/>
      <c r="D75" s="28"/>
      <c r="E75" s="28"/>
      <c r="F75" s="28"/>
      <c r="G75" s="28"/>
      <c r="H75" s="28"/>
      <c r="I75" s="28"/>
      <c r="J75" s="28"/>
    </row>
    <row r="76" spans="1:10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</row>
    <row r="77" spans="1:10" x14ac:dyDescent="0.25">
      <c r="A77" s="28"/>
      <c r="B77" s="28"/>
      <c r="C77" s="28"/>
      <c r="D77" s="28"/>
      <c r="E77" s="28"/>
      <c r="F77" s="28"/>
      <c r="G77" s="28"/>
      <c r="H77" s="28"/>
      <c r="I77" s="28"/>
      <c r="J77" s="28"/>
    </row>
    <row r="78" spans="1:10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</row>
    <row r="79" spans="1:10" x14ac:dyDescent="0.25">
      <c r="A79" s="28"/>
      <c r="B79" s="28"/>
      <c r="C79" s="28"/>
      <c r="D79" s="28"/>
      <c r="E79" s="28"/>
      <c r="F79" s="28"/>
      <c r="G79" s="28"/>
      <c r="H79" s="28"/>
      <c r="I79" s="28"/>
      <c r="J79" s="28"/>
    </row>
    <row r="80" spans="1:10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</row>
    <row r="81" spans="1:10" x14ac:dyDescent="0.25">
      <c r="A81" s="28"/>
      <c r="B81" s="28"/>
      <c r="C81" s="28"/>
      <c r="D81" s="28"/>
      <c r="E81" s="28"/>
      <c r="F81" s="28"/>
      <c r="G81" s="28"/>
      <c r="H81" s="28"/>
      <c r="I81" s="28"/>
      <c r="J81" s="28"/>
    </row>
    <row r="82" spans="1:10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</row>
    <row r="83" spans="1:10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</row>
    <row r="84" spans="1:10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</row>
    <row r="85" spans="1:10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</row>
    <row r="86" spans="1:10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</row>
    <row r="87" spans="1:10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</row>
    <row r="88" spans="1:10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</row>
    <row r="89" spans="1:10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</row>
    <row r="90" spans="1:10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</row>
    <row r="91" spans="1:10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</row>
    <row r="92" spans="1:10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</row>
    <row r="93" spans="1:10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</row>
    <row r="94" spans="1:10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</row>
    <row r="95" spans="1:10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</row>
    <row r="96" spans="1:10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</row>
    <row r="97" spans="1:10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</row>
    <row r="98" spans="1:10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</row>
    <row r="99" spans="1:10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</row>
    <row r="100" spans="1:10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</row>
    <row r="101" spans="1:10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</row>
    <row r="102" spans="1:10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</row>
    <row r="103" spans="1:10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</row>
    <row r="104" spans="1:10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</row>
  </sheetData>
  <mergeCells count="2">
    <mergeCell ref="A1:J1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1"/>
  <sheetViews>
    <sheetView showGridLines="0" topLeftCell="A11" workbookViewId="0">
      <selection activeCell="B45" sqref="B45"/>
    </sheetView>
  </sheetViews>
  <sheetFormatPr defaultRowHeight="15" x14ac:dyDescent="0.25"/>
  <cols>
    <col min="1" max="1" width="24" customWidth="1"/>
    <col min="2" max="2" width="101.5703125" customWidth="1"/>
  </cols>
  <sheetData>
    <row r="1" spans="1:2" ht="27.95" customHeight="1" x14ac:dyDescent="0.25">
      <c r="A1" s="89" t="s">
        <v>751</v>
      </c>
      <c r="B1" s="71"/>
    </row>
    <row r="3" spans="1:2" ht="8.1" customHeight="1" x14ac:dyDescent="0.25"/>
    <row r="4" spans="1:2" ht="26.1" customHeight="1" x14ac:dyDescent="0.25">
      <c r="A4" s="82" t="s">
        <v>752</v>
      </c>
      <c r="B4" s="71"/>
    </row>
    <row r="5" spans="1:2" x14ac:dyDescent="0.25">
      <c r="A5" s="30" t="s">
        <v>753</v>
      </c>
      <c r="B5" s="31" t="s">
        <v>754</v>
      </c>
    </row>
    <row r="6" spans="1:2" ht="25.5" customHeight="1" x14ac:dyDescent="0.25">
      <c r="A6" s="32" t="s">
        <v>755</v>
      </c>
      <c r="B6" s="33" t="s">
        <v>756</v>
      </c>
    </row>
    <row r="7" spans="1:2" x14ac:dyDescent="0.25">
      <c r="A7" s="30" t="s">
        <v>757</v>
      </c>
      <c r="B7" s="31" t="s">
        <v>758</v>
      </c>
    </row>
    <row r="8" spans="1:2" x14ac:dyDescent="0.25">
      <c r="A8" s="32" t="s">
        <v>759</v>
      </c>
      <c r="B8" s="33" t="s">
        <v>760</v>
      </c>
    </row>
    <row r="9" spans="1:2" x14ac:dyDescent="0.25">
      <c r="A9" s="30" t="s">
        <v>761</v>
      </c>
      <c r="B9" s="31" t="s">
        <v>762</v>
      </c>
    </row>
    <row r="10" spans="1:2" x14ac:dyDescent="0.25">
      <c r="A10" s="32" t="s">
        <v>763</v>
      </c>
      <c r="B10" s="33" t="s">
        <v>764</v>
      </c>
    </row>
    <row r="11" spans="1:2" x14ac:dyDescent="0.25">
      <c r="A11" s="30" t="s">
        <v>765</v>
      </c>
      <c r="B11" s="31" t="s">
        <v>766</v>
      </c>
    </row>
    <row r="12" spans="1:2" ht="8.1" customHeight="1" x14ac:dyDescent="0.25"/>
    <row r="13" spans="1:2" ht="26.1" customHeight="1" x14ac:dyDescent="0.25">
      <c r="A13" s="82" t="s">
        <v>767</v>
      </c>
      <c r="B13" s="71"/>
    </row>
    <row r="14" spans="1:2" x14ac:dyDescent="0.25">
      <c r="A14" s="32" t="s">
        <v>768</v>
      </c>
      <c r="B14" s="33" t="s">
        <v>769</v>
      </c>
    </row>
    <row r="15" spans="1:2" x14ac:dyDescent="0.25">
      <c r="A15" s="30" t="s">
        <v>770</v>
      </c>
      <c r="B15" s="31" t="s">
        <v>771</v>
      </c>
    </row>
    <row r="16" spans="1:2" x14ac:dyDescent="0.25">
      <c r="A16" s="32" t="s">
        <v>772</v>
      </c>
      <c r="B16" s="33" t="s">
        <v>773</v>
      </c>
    </row>
    <row r="17" spans="1:2" x14ac:dyDescent="0.25">
      <c r="A17" s="30" t="s">
        <v>774</v>
      </c>
      <c r="B17" s="31" t="s">
        <v>775</v>
      </c>
    </row>
    <row r="18" spans="1:2" x14ac:dyDescent="0.25">
      <c r="A18" s="32" t="s">
        <v>776</v>
      </c>
      <c r="B18" s="33" t="s">
        <v>777</v>
      </c>
    </row>
    <row r="19" spans="1:2" x14ac:dyDescent="0.25">
      <c r="A19" s="30" t="s">
        <v>778</v>
      </c>
      <c r="B19" s="31" t="s">
        <v>779</v>
      </c>
    </row>
    <row r="20" spans="1:2" x14ac:dyDescent="0.25">
      <c r="A20" s="32" t="s">
        <v>780</v>
      </c>
      <c r="B20" s="33" t="s">
        <v>781</v>
      </c>
    </row>
    <row r="21" spans="1:2" x14ac:dyDescent="0.25">
      <c r="A21" s="30" t="s">
        <v>782</v>
      </c>
      <c r="B21" s="31" t="s">
        <v>783</v>
      </c>
    </row>
    <row r="22" spans="1:2" x14ac:dyDescent="0.25">
      <c r="A22" s="32" t="s">
        <v>784</v>
      </c>
      <c r="B22" s="33" t="s">
        <v>785</v>
      </c>
    </row>
    <row r="23" spans="1:2" x14ac:dyDescent="0.25">
      <c r="A23" s="30" t="s">
        <v>786</v>
      </c>
      <c r="B23" s="31" t="s">
        <v>787</v>
      </c>
    </row>
    <row r="24" spans="1:2" x14ac:dyDescent="0.25">
      <c r="A24" s="32" t="s">
        <v>788</v>
      </c>
      <c r="B24" s="33" t="s">
        <v>789</v>
      </c>
    </row>
    <row r="25" spans="1:2" x14ac:dyDescent="0.25">
      <c r="A25" s="30" t="s">
        <v>790</v>
      </c>
      <c r="B25" s="31" t="s">
        <v>791</v>
      </c>
    </row>
    <row r="26" spans="1:2" ht="8.1" customHeight="1" x14ac:dyDescent="0.25"/>
    <row r="27" spans="1:2" ht="26.1" customHeight="1" x14ac:dyDescent="0.25">
      <c r="A27" s="82" t="s">
        <v>792</v>
      </c>
      <c r="B27" s="71"/>
    </row>
    <row r="28" spans="1:2" x14ac:dyDescent="0.25">
      <c r="A28" s="32" t="s">
        <v>793</v>
      </c>
      <c r="B28" s="33" t="s">
        <v>794</v>
      </c>
    </row>
    <row r="29" spans="1:2" x14ac:dyDescent="0.25">
      <c r="A29" s="30" t="s">
        <v>795</v>
      </c>
      <c r="B29" s="31" t="s">
        <v>796</v>
      </c>
    </row>
    <row r="30" spans="1:2" x14ac:dyDescent="0.25">
      <c r="A30" s="32" t="s">
        <v>797</v>
      </c>
      <c r="B30" s="33" t="s">
        <v>798</v>
      </c>
    </row>
    <row r="31" spans="1:2" x14ac:dyDescent="0.25">
      <c r="A31" s="30" t="s">
        <v>799</v>
      </c>
      <c r="B31" s="31" t="s">
        <v>800</v>
      </c>
    </row>
    <row r="32" spans="1:2" x14ac:dyDescent="0.25">
      <c r="A32" s="32" t="s">
        <v>801</v>
      </c>
      <c r="B32" s="33" t="s">
        <v>802</v>
      </c>
    </row>
    <row r="33" spans="1:2" ht="8.1" customHeight="1" x14ac:dyDescent="0.25"/>
    <row r="34" spans="1:2" ht="26.1" customHeight="1" x14ac:dyDescent="0.25">
      <c r="A34" s="82" t="s">
        <v>803</v>
      </c>
      <c r="B34" s="71"/>
    </row>
    <row r="35" spans="1:2" x14ac:dyDescent="0.25">
      <c r="A35" s="30" t="s">
        <v>139</v>
      </c>
      <c r="B35" s="31" t="s">
        <v>804</v>
      </c>
    </row>
    <row r="36" spans="1:2" x14ac:dyDescent="0.25">
      <c r="A36" s="32" t="s">
        <v>167</v>
      </c>
      <c r="B36" s="33" t="s">
        <v>805</v>
      </c>
    </row>
    <row r="37" spans="1:2" x14ac:dyDescent="0.25">
      <c r="A37" s="30" t="s">
        <v>806</v>
      </c>
      <c r="B37" s="31" t="s">
        <v>807</v>
      </c>
    </row>
    <row r="38" spans="1:2" x14ac:dyDescent="0.25">
      <c r="A38" s="32" t="s">
        <v>808</v>
      </c>
      <c r="B38" s="33" t="s">
        <v>809</v>
      </c>
    </row>
    <row r="39" spans="1:2" x14ac:dyDescent="0.25">
      <c r="A39" s="30" t="s">
        <v>91</v>
      </c>
      <c r="B39" s="31" t="s">
        <v>810</v>
      </c>
    </row>
    <row r="40" spans="1:2" x14ac:dyDescent="0.25">
      <c r="A40" s="32" t="s">
        <v>106</v>
      </c>
      <c r="B40" s="33" t="s">
        <v>811</v>
      </c>
    </row>
    <row r="41" spans="1:2" x14ac:dyDescent="0.25">
      <c r="A41" s="30" t="s">
        <v>812</v>
      </c>
      <c r="B41" s="31" t="s">
        <v>813</v>
      </c>
    </row>
  </sheetData>
  <mergeCells count="5">
    <mergeCell ref="A4:B4"/>
    <mergeCell ref="A13:B13"/>
    <mergeCell ref="A1:B1"/>
    <mergeCell ref="A27:B27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🚛 Fleet Status</vt:lpstr>
      <vt:lpstr>⚓ Marine Vessels</vt:lpstr>
      <vt:lpstr>👥 Staff Register</vt:lpstr>
      <vt:lpstr>🔧 Operators</vt:lpstr>
      <vt:lpstr>📋 Janaka Daily Log</vt:lpstr>
      <vt:lpstr>📦 PR Log</vt:lpstr>
      <vt:lpstr>💰 Rental Log</vt:lpstr>
      <vt:lpstr>📂 Document Vault</vt:lpstr>
      <vt:lpstr>📅 Compliance</vt:lpstr>
      <vt:lpstr>📞 Call Log</vt:lpstr>
      <vt:lpstr>📅 Daily Log</vt:lpstr>
      <vt:lpstr>ℹ️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Mushthaq</dc:creator>
  <cp:lastModifiedBy>GM | WELLLAND INVESTMENT</cp:lastModifiedBy>
  <cp:lastPrinted>2026-04-16T11:21:38Z</cp:lastPrinted>
  <dcterms:created xsi:type="dcterms:W3CDTF">2026-03-15T01:38:42Z</dcterms:created>
  <dcterms:modified xsi:type="dcterms:W3CDTF">2026-05-11T11:57:19Z</dcterms:modified>
</cp:coreProperties>
</file>