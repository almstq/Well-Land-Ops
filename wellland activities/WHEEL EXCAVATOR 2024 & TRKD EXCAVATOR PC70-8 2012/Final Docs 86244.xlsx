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m_al\Downloads\"/>
    </mc:Choice>
  </mc:AlternateContent>
  <bookViews>
    <workbookView xWindow="0" yWindow="0" windowWidth="28800" windowHeight="13005"/>
  </bookViews>
  <sheets>
    <sheet name="INVOICE" sheetId="1" r:id="rId1"/>
  </sheets>
  <definedNames>
    <definedName name="_xlnm.Print_Area" localSheetId="0">INVOICE!$A$1:$P$26</definedName>
    <definedName name="_xlnm.Print_Titles" localSheetId="0">INVOICE!$1:$17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1" i="1" l="1"/>
  <c r="P19" i="1" l="1"/>
  <c r="P18" i="1"/>
</calcChain>
</file>

<file path=xl/sharedStrings.xml><?xml version="1.0" encoding="utf-8"?>
<sst xmlns="http://schemas.openxmlformats.org/spreadsheetml/2006/main" count="70" uniqueCount="68">
  <si>
    <r>
      <t>Shipping Method:</t>
    </r>
    <r>
      <rPr>
        <b/>
        <sz val="11"/>
        <color theme="1"/>
        <rFont val="Calibri"/>
        <family val="2"/>
        <scheme val="minor"/>
      </rPr>
      <t xml:space="preserve"> SEA</t>
    </r>
  </si>
  <si>
    <t>Invoice No:</t>
  </si>
  <si>
    <r>
      <t xml:space="preserve">Shipping Term: </t>
    </r>
    <r>
      <rPr>
        <b/>
        <sz val="11"/>
        <color theme="1"/>
        <rFont val="Calibri"/>
        <family val="2"/>
        <scheme val="minor"/>
      </rPr>
      <t>C&amp;F</t>
    </r>
  </si>
  <si>
    <t>Invoice Date:</t>
  </si>
  <si>
    <t>B/L No:</t>
  </si>
  <si>
    <r>
      <t xml:space="preserve">Currency: </t>
    </r>
    <r>
      <rPr>
        <b/>
        <sz val="11"/>
        <color theme="1"/>
        <rFont val="Calibri"/>
        <family val="2"/>
        <scheme val="minor"/>
      </rPr>
      <t>USD</t>
    </r>
  </si>
  <si>
    <t>Customer Ref:</t>
  </si>
  <si>
    <t>From</t>
  </si>
  <si>
    <t>To</t>
  </si>
  <si>
    <t>AL DAHR FZC  (AE-2034349)</t>
  </si>
  <si>
    <t>Unit#203, 2nd Floor, Al Buteen Building,</t>
  </si>
  <si>
    <t xml:space="preserve">Al Kabir St, Murshid Bazaar, Deira, Dubai, UAE. </t>
  </si>
  <si>
    <t>Tel. No.: +971 5 42662539</t>
  </si>
  <si>
    <t>Email: khalid.procurement@aldahr-gt.com</t>
  </si>
  <si>
    <t>VAT: 104077053700003</t>
  </si>
  <si>
    <t>No</t>
  </si>
  <si>
    <t>Description</t>
  </si>
  <si>
    <t>Country of Origin</t>
  </si>
  <si>
    <t xml:space="preserve">Unit </t>
  </si>
  <si>
    <t>QTY</t>
  </si>
  <si>
    <t>Diclaration Statement:</t>
  </si>
  <si>
    <t>Total Value of Items</t>
  </si>
  <si>
    <t>Total Packages:</t>
  </si>
  <si>
    <t>Gross Weight:</t>
  </si>
  <si>
    <r>
      <t xml:space="preserve">Payment: </t>
    </r>
    <r>
      <rPr>
        <b/>
        <sz val="11"/>
        <color theme="1"/>
        <rFont val="Calibri"/>
        <family val="2"/>
        <scheme val="minor"/>
      </rPr>
      <t>30 DAYS CREDIT</t>
    </r>
  </si>
  <si>
    <t>Male, Republic of Maldives</t>
  </si>
  <si>
    <t>INVOICE/PACKING LIST</t>
  </si>
  <si>
    <t>B. MUTHAAFUSHI RESORT DEVELOPMENT PROJECT</t>
  </si>
  <si>
    <t>C/O MUTHAAFUSHI ORIENT INVESTMENTS LIMITED</t>
  </si>
  <si>
    <t xml:space="preserve">1st Floor, Fareedhee Magu, </t>
  </si>
  <si>
    <t>Reg No.: FC-0002/2017</t>
  </si>
  <si>
    <t>Email: shipping@antracholding.com</t>
  </si>
  <si>
    <t>Contact Person : Hussain Shaairu</t>
  </si>
  <si>
    <t>Contact No : +960 744 8885 / +9607914520</t>
  </si>
  <si>
    <t>Al Dahr FZC</t>
  </si>
  <si>
    <t>Serial No./Chassis No.</t>
  </si>
  <si>
    <t>Condition</t>
  </si>
  <si>
    <t>USED</t>
  </si>
  <si>
    <t>Year</t>
  </si>
  <si>
    <t>Color</t>
  </si>
  <si>
    <t>EACH</t>
  </si>
  <si>
    <t>WT/KGS</t>
  </si>
  <si>
    <t>Unit Price (USD)</t>
  </si>
  <si>
    <t>Amount (USD)</t>
  </si>
  <si>
    <t>N/A</t>
  </si>
  <si>
    <t>Brand</t>
  </si>
  <si>
    <t>Engine Capacity</t>
  </si>
  <si>
    <t>Model</t>
  </si>
  <si>
    <t>DXB1014078</t>
  </si>
  <si>
    <t>KMTPC238P38C02085</t>
  </si>
  <si>
    <t>XUGD060FCRKA00001</t>
  </si>
  <si>
    <t>XCMG</t>
  </si>
  <si>
    <t>KOMATSU</t>
  </si>
  <si>
    <t xml:space="preserve">CHINA </t>
  </si>
  <si>
    <t>JAPAN</t>
  </si>
  <si>
    <t>WHEEL EXCAVATOR 2024</t>
  </si>
  <si>
    <t>TRKD EXCAVATOR PC70-8 2012</t>
  </si>
  <si>
    <t>YELLOW GRAY</t>
  </si>
  <si>
    <t>YELLOW</t>
  </si>
  <si>
    <t>XE60WG</t>
  </si>
  <si>
    <t>PC70-8</t>
  </si>
  <si>
    <t>SAA4D95LE-5</t>
  </si>
  <si>
    <t>Engine Number</t>
  </si>
  <si>
    <t>37 kW</t>
  </si>
  <si>
    <t>G4GYMCL029F31</t>
  </si>
  <si>
    <t>68.4 kW</t>
  </si>
  <si>
    <t xml:space="preserve">FREIGHT CHARGES </t>
  </si>
  <si>
    <t>ADFZC-000411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</si>
</sst>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D9E7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26">
    <xf numFmtId="0" fontId="0" fillId="0" borderId="0" xfId="0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0" borderId="5" xfId="3" applyFont="1" applyBorder="1" applyAlignment="1">
      <alignment vertical="center"/>
    </xf>
    <xf numFmtId="0" fontId="5" fillId="0" borderId="6" xfId="3" applyFont="1" applyBorder="1" applyAlignment="1">
      <alignment vertical="center" wrapText="1"/>
    </xf>
    <xf numFmtId="0" fontId="9" fillId="0" borderId="5" xfId="0" applyFont="1" applyBorder="1"/>
    <xf numFmtId="0" fontId="9" fillId="0" borderId="6" xfId="3" applyFont="1" applyBorder="1" applyAlignment="1">
      <alignment vertical="center" wrapText="1"/>
    </xf>
    <xf numFmtId="0" fontId="9" fillId="0" borderId="7" xfId="3" applyFont="1" applyBorder="1" applyAlignment="1">
      <alignment vertical="center"/>
    </xf>
    <xf numFmtId="0" fontId="9" fillId="0" borderId="8" xfId="3" applyFont="1" applyBorder="1" applyAlignment="1">
      <alignment vertical="center" wrapText="1"/>
    </xf>
    <xf numFmtId="0" fontId="9" fillId="0" borderId="7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5" xfId="0" applyFont="1" applyBorder="1"/>
    <xf numFmtId="0" fontId="13" fillId="0" borderId="14" xfId="0" applyFont="1" applyBorder="1"/>
    <xf numFmtId="0" fontId="12" fillId="0" borderId="15" xfId="0" applyFont="1" applyBorder="1"/>
    <xf numFmtId="0" fontId="12" fillId="0" borderId="16" xfId="0" applyFont="1" applyBorder="1"/>
    <xf numFmtId="0" fontId="12" fillId="0" borderId="0" xfId="0" applyFont="1"/>
    <xf numFmtId="0" fontId="14" fillId="0" borderId="5" xfId="0" applyFont="1" applyBorder="1" applyAlignment="1">
      <alignment vertical="center"/>
    </xf>
    <xf numFmtId="0" fontId="11" fillId="0" borderId="1" xfId="0" applyFont="1" applyBorder="1" applyAlignment="1">
      <alignment horizontal="center"/>
    </xf>
    <xf numFmtId="0" fontId="11" fillId="0" borderId="22" xfId="0" applyFont="1" applyBorder="1" applyAlignment="1">
      <alignment horizontal="center" vertical="center"/>
    </xf>
    <xf numFmtId="0" fontId="11" fillId="0" borderId="24" xfId="0" applyFont="1" applyBorder="1" applyAlignment="1">
      <alignment vertical="center" wrapText="1"/>
    </xf>
    <xf numFmtId="1" fontId="11" fillId="0" borderId="24" xfId="0" applyNumberFormat="1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10" fillId="0" borderId="4" xfId="0" applyFont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0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1" fontId="11" fillId="0" borderId="24" xfId="1" applyNumberFormat="1" applyFont="1" applyBorder="1" applyAlignment="1">
      <alignment horizontal="center" vertical="center" wrapText="1"/>
    </xf>
    <xf numFmtId="1" fontId="11" fillId="0" borderId="10" xfId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11" fillId="0" borderId="0" xfId="0" applyFont="1" applyBorder="1" applyAlignment="1">
      <alignment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3" fillId="0" borderId="0" xfId="0" applyFont="1" applyBorder="1"/>
    <xf numFmtId="0" fontId="13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164" fontId="11" fillId="0" borderId="24" xfId="2" applyFont="1" applyBorder="1" applyAlignment="1">
      <alignment horizontal="center" vertical="center"/>
    </xf>
    <xf numFmtId="164" fontId="11" fillId="0" borderId="23" xfId="2" applyFont="1" applyBorder="1" applyAlignment="1">
      <alignment horizontal="center" vertical="center" wrapText="1"/>
    </xf>
    <xf numFmtId="164" fontId="11" fillId="0" borderId="10" xfId="2" applyFont="1" applyBorder="1" applyAlignment="1">
      <alignment horizontal="center" vertical="center"/>
    </xf>
    <xf numFmtId="164" fontId="11" fillId="0" borderId="11" xfId="2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10" fillId="0" borderId="4" xfId="0" applyFont="1" applyBorder="1" applyAlignment="1">
      <alignment horizontal="left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164" fontId="11" fillId="0" borderId="3" xfId="2" applyFont="1" applyBorder="1" applyAlignment="1">
      <alignment horizontal="center" vertical="center" wrapText="1"/>
    </xf>
    <xf numFmtId="0" fontId="10" fillId="0" borderId="26" xfId="0" applyFont="1" applyBorder="1" applyAlignment="1">
      <alignment vertical="center" wrapText="1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66" fontId="17" fillId="0" borderId="0" xfId="1" applyNumberFormat="1" applyFont="1" applyBorder="1" applyAlignment="1">
      <alignment horizontal="right" vertical="center"/>
    </xf>
    <xf numFmtId="166" fontId="17" fillId="0" borderId="6" xfId="1" applyNumberFormat="1" applyFont="1" applyBorder="1" applyAlignment="1">
      <alignment horizontal="right" vertical="center"/>
    </xf>
    <xf numFmtId="0" fontId="0" fillId="0" borderId="13" xfId="0" applyBorder="1" applyAlignment="1">
      <alignment horizontal="right"/>
    </xf>
    <xf numFmtId="0" fontId="0" fillId="0" borderId="0" xfId="0" applyBorder="1" applyAlignment="1">
      <alignment horizontal="right"/>
    </xf>
    <xf numFmtId="0" fontId="15" fillId="0" borderId="0" xfId="0" applyFont="1" applyBorder="1" applyAlignment="1">
      <alignment horizontal="right" vertical="center" wrapText="1"/>
    </xf>
    <xf numFmtId="0" fontId="15" fillId="0" borderId="6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0" fillId="0" borderId="20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3" fillId="0" borderId="2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5" xfId="4" applyFont="1" applyBorder="1" applyAlignment="1">
      <alignment horizontal="left"/>
    </xf>
    <xf numFmtId="0" fontId="9" fillId="0" borderId="0" xfId="4" applyFont="1" applyBorder="1" applyAlignment="1">
      <alignment horizontal="left"/>
    </xf>
    <xf numFmtId="0" fontId="9" fillId="0" borderId="6" xfId="4" applyFont="1" applyBorder="1" applyAlignment="1">
      <alignment horizontal="left"/>
    </xf>
    <xf numFmtId="15" fontId="4" fillId="0" borderId="4" xfId="0" quotePrefix="1" applyNumberFormat="1" applyFont="1" applyBorder="1" applyAlignment="1">
      <alignment horizontal="left" vertical="center"/>
    </xf>
    <xf numFmtId="15" fontId="4" fillId="0" borderId="3" xfId="0" quotePrefix="1" applyNumberFormat="1" applyFont="1" applyBorder="1" applyAlignment="1">
      <alignment horizontal="left" vertical="center"/>
    </xf>
    <xf numFmtId="15" fontId="5" fillId="0" borderId="0" xfId="0" applyNumberFormat="1" applyFont="1" applyBorder="1" applyAlignment="1">
      <alignment horizontal="left" vertical="center"/>
    </xf>
    <xf numFmtId="0" fontId="0" fillId="0" borderId="0" xfId="0" quotePrefix="1" applyFont="1" applyBorder="1" applyAlignment="1">
      <alignment horizontal="left"/>
    </xf>
    <xf numFmtId="0" fontId="0" fillId="0" borderId="6" xfId="0" quotePrefix="1" applyFont="1" applyBorder="1" applyAlignment="1">
      <alignment horizontal="left"/>
    </xf>
    <xf numFmtId="0" fontId="8" fillId="0" borderId="5" xfId="4" applyFont="1" applyBorder="1" applyAlignment="1">
      <alignment horizontal="left"/>
    </xf>
    <xf numFmtId="0" fontId="8" fillId="0" borderId="0" xfId="4" applyFont="1" applyBorder="1" applyAlignment="1">
      <alignment horizontal="left"/>
    </xf>
    <xf numFmtId="0" fontId="8" fillId="0" borderId="6" xfId="4" applyFont="1" applyBorder="1" applyAlignment="1">
      <alignment horizontal="left"/>
    </xf>
    <xf numFmtId="0" fontId="0" fillId="0" borderId="0" xfId="0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</cellXfs>
  <cellStyles count="6">
    <cellStyle name="Comma" xfId="1" builtinId="3"/>
    <cellStyle name="Comma 2" xfId="5"/>
    <cellStyle name="Currency" xfId="2" builtinId="4"/>
    <cellStyle name="Normal" xfId="0" builtinId="0"/>
    <cellStyle name="Normal 2" xfId="4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1418939</xdr:colOff>
      <xdr:row>0</xdr:row>
      <xdr:rowOff>0</xdr:rowOff>
    </xdr:from>
    <xdr:ext cx="262255" cy="124616"/>
    <xdr:sp macro="" textlink="">
      <xdr:nvSpPr>
        <xdr:cNvPr id="2" name="Shape 3">
          <a:extLst>
            <a:ext uri="{FF2B5EF4-FFF2-40B4-BE49-F238E27FC236}">
              <a16:creationId xmlns="" xmlns:a16="http://schemas.microsoft.com/office/drawing/2014/main" id="{8ABF345D-9A13-4759-AAF3-FEC33D233398}"/>
            </a:ext>
          </a:extLst>
        </xdr:cNvPr>
        <xdr:cNvSpPr/>
      </xdr:nvSpPr>
      <xdr:spPr>
        <a:xfrm>
          <a:off x="439073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687370</xdr:colOff>
      <xdr:row>0</xdr:row>
      <xdr:rowOff>0</xdr:rowOff>
    </xdr:from>
    <xdr:ext cx="610235" cy="124616"/>
    <xdr:sp macro="" textlink="">
      <xdr:nvSpPr>
        <xdr:cNvPr id="3" name="Shape 4">
          <a:extLst>
            <a:ext uri="{FF2B5EF4-FFF2-40B4-BE49-F238E27FC236}">
              <a16:creationId xmlns="" xmlns:a16="http://schemas.microsoft.com/office/drawing/2014/main" id="{ABD0BD84-A187-4142-AA42-76D048525C49}"/>
            </a:ext>
          </a:extLst>
        </xdr:cNvPr>
        <xdr:cNvSpPr/>
      </xdr:nvSpPr>
      <xdr:spPr>
        <a:xfrm>
          <a:off x="4392595" y="0"/>
          <a:ext cx="610235" cy="124616"/>
        </a:xfrm>
        <a:custGeom>
          <a:avLst/>
          <a:gdLst/>
          <a:ahLst/>
          <a:cxnLst/>
          <a:rect l="0" t="0" r="0" b="0"/>
          <a:pathLst>
            <a:path w="610235">
              <a:moveTo>
                <a:pt x="0" y="0"/>
              </a:moveTo>
              <a:lnTo>
                <a:pt x="609640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1418939</xdr:colOff>
      <xdr:row>0</xdr:row>
      <xdr:rowOff>0</xdr:rowOff>
    </xdr:from>
    <xdr:ext cx="262255" cy="124616"/>
    <xdr:sp macro="" textlink="">
      <xdr:nvSpPr>
        <xdr:cNvPr id="4" name="Shape 3">
          <a:extLst>
            <a:ext uri="{FF2B5EF4-FFF2-40B4-BE49-F238E27FC236}">
              <a16:creationId xmlns="" xmlns:a16="http://schemas.microsoft.com/office/drawing/2014/main" id="{F21D80AA-A33D-4188-AE39-07D96F7B51DB}"/>
            </a:ext>
          </a:extLst>
        </xdr:cNvPr>
        <xdr:cNvSpPr/>
      </xdr:nvSpPr>
      <xdr:spPr>
        <a:xfrm>
          <a:off x="439073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687370</xdr:colOff>
      <xdr:row>0</xdr:row>
      <xdr:rowOff>0</xdr:rowOff>
    </xdr:from>
    <xdr:ext cx="610235" cy="124616"/>
    <xdr:sp macro="" textlink="">
      <xdr:nvSpPr>
        <xdr:cNvPr id="5" name="Shape 4">
          <a:extLst>
            <a:ext uri="{FF2B5EF4-FFF2-40B4-BE49-F238E27FC236}">
              <a16:creationId xmlns="" xmlns:a16="http://schemas.microsoft.com/office/drawing/2014/main" id="{5CC724D3-DC51-493C-9159-61A85EF50CDC}"/>
            </a:ext>
          </a:extLst>
        </xdr:cNvPr>
        <xdr:cNvSpPr/>
      </xdr:nvSpPr>
      <xdr:spPr>
        <a:xfrm>
          <a:off x="4392595" y="0"/>
          <a:ext cx="610235" cy="124616"/>
        </a:xfrm>
        <a:custGeom>
          <a:avLst/>
          <a:gdLst/>
          <a:ahLst/>
          <a:cxnLst/>
          <a:rect l="0" t="0" r="0" b="0"/>
          <a:pathLst>
            <a:path w="610235">
              <a:moveTo>
                <a:pt x="0" y="0"/>
              </a:moveTo>
              <a:lnTo>
                <a:pt x="609640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1418939</xdr:colOff>
      <xdr:row>0</xdr:row>
      <xdr:rowOff>0</xdr:rowOff>
    </xdr:from>
    <xdr:ext cx="262255" cy="124616"/>
    <xdr:sp macro="" textlink="">
      <xdr:nvSpPr>
        <xdr:cNvPr id="6" name="Shape 3">
          <a:extLst>
            <a:ext uri="{FF2B5EF4-FFF2-40B4-BE49-F238E27FC236}">
              <a16:creationId xmlns="" xmlns:a16="http://schemas.microsoft.com/office/drawing/2014/main" id="{4828F7F5-3941-4E1C-87BF-6FD42F566F54}"/>
            </a:ext>
          </a:extLst>
        </xdr:cNvPr>
        <xdr:cNvSpPr/>
      </xdr:nvSpPr>
      <xdr:spPr>
        <a:xfrm>
          <a:off x="439073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687370</xdr:colOff>
      <xdr:row>0</xdr:row>
      <xdr:rowOff>0</xdr:rowOff>
    </xdr:from>
    <xdr:ext cx="610235" cy="124616"/>
    <xdr:sp macro="" textlink="">
      <xdr:nvSpPr>
        <xdr:cNvPr id="7" name="Shape 4">
          <a:extLst>
            <a:ext uri="{FF2B5EF4-FFF2-40B4-BE49-F238E27FC236}">
              <a16:creationId xmlns="" xmlns:a16="http://schemas.microsoft.com/office/drawing/2014/main" id="{49B17CE1-0BBE-4F09-B7FF-1B11FB12BD47}"/>
            </a:ext>
          </a:extLst>
        </xdr:cNvPr>
        <xdr:cNvSpPr/>
      </xdr:nvSpPr>
      <xdr:spPr>
        <a:xfrm>
          <a:off x="4392595" y="0"/>
          <a:ext cx="610235" cy="124616"/>
        </a:xfrm>
        <a:custGeom>
          <a:avLst/>
          <a:gdLst/>
          <a:ahLst/>
          <a:cxnLst/>
          <a:rect l="0" t="0" r="0" b="0"/>
          <a:pathLst>
            <a:path w="610235">
              <a:moveTo>
                <a:pt x="0" y="0"/>
              </a:moveTo>
              <a:lnTo>
                <a:pt x="609640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1418939</xdr:colOff>
      <xdr:row>0</xdr:row>
      <xdr:rowOff>0</xdr:rowOff>
    </xdr:from>
    <xdr:ext cx="262255" cy="124616"/>
    <xdr:sp macro="" textlink="">
      <xdr:nvSpPr>
        <xdr:cNvPr id="8" name="Shape 3">
          <a:extLst>
            <a:ext uri="{FF2B5EF4-FFF2-40B4-BE49-F238E27FC236}">
              <a16:creationId xmlns="" xmlns:a16="http://schemas.microsoft.com/office/drawing/2014/main" id="{3FF8B4B2-3934-453D-BE1F-DE0E60C606C7}"/>
            </a:ext>
          </a:extLst>
        </xdr:cNvPr>
        <xdr:cNvSpPr/>
      </xdr:nvSpPr>
      <xdr:spPr>
        <a:xfrm>
          <a:off x="439073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687370</xdr:colOff>
      <xdr:row>0</xdr:row>
      <xdr:rowOff>0</xdr:rowOff>
    </xdr:from>
    <xdr:ext cx="610235" cy="124616"/>
    <xdr:sp macro="" textlink="">
      <xdr:nvSpPr>
        <xdr:cNvPr id="9" name="Shape 4">
          <a:extLst>
            <a:ext uri="{FF2B5EF4-FFF2-40B4-BE49-F238E27FC236}">
              <a16:creationId xmlns="" xmlns:a16="http://schemas.microsoft.com/office/drawing/2014/main" id="{D09498AA-8F7A-4F3F-A7F5-192301FCA6C9}"/>
            </a:ext>
          </a:extLst>
        </xdr:cNvPr>
        <xdr:cNvSpPr/>
      </xdr:nvSpPr>
      <xdr:spPr>
        <a:xfrm>
          <a:off x="4392595" y="0"/>
          <a:ext cx="610235" cy="124616"/>
        </a:xfrm>
        <a:custGeom>
          <a:avLst/>
          <a:gdLst/>
          <a:ahLst/>
          <a:cxnLst/>
          <a:rect l="0" t="0" r="0" b="0"/>
          <a:pathLst>
            <a:path w="610235">
              <a:moveTo>
                <a:pt x="0" y="0"/>
              </a:moveTo>
              <a:lnTo>
                <a:pt x="609640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1418939</xdr:colOff>
      <xdr:row>0</xdr:row>
      <xdr:rowOff>0</xdr:rowOff>
    </xdr:from>
    <xdr:ext cx="262255" cy="124616"/>
    <xdr:sp macro="" textlink="">
      <xdr:nvSpPr>
        <xdr:cNvPr id="10" name="Shape 3">
          <a:extLst>
            <a:ext uri="{FF2B5EF4-FFF2-40B4-BE49-F238E27FC236}">
              <a16:creationId xmlns="" xmlns:a16="http://schemas.microsoft.com/office/drawing/2014/main" id="{91089B7E-2169-479F-8816-C8CCCEB8A0DA}"/>
            </a:ext>
          </a:extLst>
        </xdr:cNvPr>
        <xdr:cNvSpPr/>
      </xdr:nvSpPr>
      <xdr:spPr>
        <a:xfrm>
          <a:off x="439073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687370</xdr:colOff>
      <xdr:row>0</xdr:row>
      <xdr:rowOff>0</xdr:rowOff>
    </xdr:from>
    <xdr:ext cx="610235" cy="124616"/>
    <xdr:sp macro="" textlink="">
      <xdr:nvSpPr>
        <xdr:cNvPr id="11" name="Shape 4">
          <a:extLst>
            <a:ext uri="{FF2B5EF4-FFF2-40B4-BE49-F238E27FC236}">
              <a16:creationId xmlns="" xmlns:a16="http://schemas.microsoft.com/office/drawing/2014/main" id="{7DC8689D-CA45-4A80-83DD-5C9F1EF72756}"/>
            </a:ext>
          </a:extLst>
        </xdr:cNvPr>
        <xdr:cNvSpPr/>
      </xdr:nvSpPr>
      <xdr:spPr>
        <a:xfrm>
          <a:off x="4392595" y="0"/>
          <a:ext cx="610235" cy="124616"/>
        </a:xfrm>
        <a:custGeom>
          <a:avLst/>
          <a:gdLst/>
          <a:ahLst/>
          <a:cxnLst/>
          <a:rect l="0" t="0" r="0" b="0"/>
          <a:pathLst>
            <a:path w="610235">
              <a:moveTo>
                <a:pt x="0" y="0"/>
              </a:moveTo>
              <a:lnTo>
                <a:pt x="609640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1418939</xdr:colOff>
      <xdr:row>0</xdr:row>
      <xdr:rowOff>0</xdr:rowOff>
    </xdr:from>
    <xdr:ext cx="262255" cy="124616"/>
    <xdr:sp macro="" textlink="">
      <xdr:nvSpPr>
        <xdr:cNvPr id="12" name="Shape 3">
          <a:extLst>
            <a:ext uri="{FF2B5EF4-FFF2-40B4-BE49-F238E27FC236}">
              <a16:creationId xmlns="" xmlns:a16="http://schemas.microsoft.com/office/drawing/2014/main" id="{85C68200-7476-48A9-84B3-6EA14810CC1F}"/>
            </a:ext>
          </a:extLst>
        </xdr:cNvPr>
        <xdr:cNvSpPr/>
      </xdr:nvSpPr>
      <xdr:spPr>
        <a:xfrm>
          <a:off x="439073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13</xdr:col>
      <xdr:colOff>1418939</xdr:colOff>
      <xdr:row>0</xdr:row>
      <xdr:rowOff>0</xdr:rowOff>
    </xdr:from>
    <xdr:ext cx="262255" cy="124616"/>
    <xdr:sp macro="" textlink="">
      <xdr:nvSpPr>
        <xdr:cNvPr id="13" name="Shape 3">
          <a:extLst>
            <a:ext uri="{FF2B5EF4-FFF2-40B4-BE49-F238E27FC236}">
              <a16:creationId xmlns="" xmlns:a16="http://schemas.microsoft.com/office/drawing/2014/main" id="{0F43535E-2465-48A6-B7DA-23711DDFE848}"/>
            </a:ext>
          </a:extLst>
        </xdr:cNvPr>
        <xdr:cNvSpPr/>
      </xdr:nvSpPr>
      <xdr:spPr>
        <a:xfrm>
          <a:off x="65433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1418939</xdr:colOff>
      <xdr:row>0</xdr:row>
      <xdr:rowOff>0</xdr:rowOff>
    </xdr:from>
    <xdr:ext cx="262255" cy="124616"/>
    <xdr:sp macro="" textlink="">
      <xdr:nvSpPr>
        <xdr:cNvPr id="14" name="Shape 3">
          <a:extLst>
            <a:ext uri="{FF2B5EF4-FFF2-40B4-BE49-F238E27FC236}">
              <a16:creationId xmlns="" xmlns:a16="http://schemas.microsoft.com/office/drawing/2014/main" id="{373038FF-A398-49FD-868C-EC5C6BE8503A}"/>
            </a:ext>
          </a:extLst>
        </xdr:cNvPr>
        <xdr:cNvSpPr/>
      </xdr:nvSpPr>
      <xdr:spPr>
        <a:xfrm>
          <a:off x="439073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687370</xdr:colOff>
      <xdr:row>0</xdr:row>
      <xdr:rowOff>0</xdr:rowOff>
    </xdr:from>
    <xdr:ext cx="610235" cy="124616"/>
    <xdr:sp macro="" textlink="">
      <xdr:nvSpPr>
        <xdr:cNvPr id="15" name="Shape 4">
          <a:extLst>
            <a:ext uri="{FF2B5EF4-FFF2-40B4-BE49-F238E27FC236}">
              <a16:creationId xmlns="" xmlns:a16="http://schemas.microsoft.com/office/drawing/2014/main" id="{705D85D1-C2AC-43DF-92DE-6138B275A14D}"/>
            </a:ext>
          </a:extLst>
        </xdr:cNvPr>
        <xdr:cNvSpPr/>
      </xdr:nvSpPr>
      <xdr:spPr>
        <a:xfrm>
          <a:off x="4392595" y="0"/>
          <a:ext cx="610235" cy="124616"/>
        </a:xfrm>
        <a:custGeom>
          <a:avLst/>
          <a:gdLst/>
          <a:ahLst/>
          <a:cxnLst/>
          <a:rect l="0" t="0" r="0" b="0"/>
          <a:pathLst>
            <a:path w="610235">
              <a:moveTo>
                <a:pt x="0" y="0"/>
              </a:moveTo>
              <a:lnTo>
                <a:pt x="609640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1418939</xdr:colOff>
      <xdr:row>0</xdr:row>
      <xdr:rowOff>0</xdr:rowOff>
    </xdr:from>
    <xdr:ext cx="262255" cy="124616"/>
    <xdr:sp macro="" textlink="">
      <xdr:nvSpPr>
        <xdr:cNvPr id="16" name="Shape 3">
          <a:extLst>
            <a:ext uri="{FF2B5EF4-FFF2-40B4-BE49-F238E27FC236}">
              <a16:creationId xmlns="" xmlns:a16="http://schemas.microsoft.com/office/drawing/2014/main" id="{F25A31D3-A819-46F2-96BB-8E85EB0523C3}"/>
            </a:ext>
          </a:extLst>
        </xdr:cNvPr>
        <xdr:cNvSpPr/>
      </xdr:nvSpPr>
      <xdr:spPr>
        <a:xfrm>
          <a:off x="439073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687370</xdr:colOff>
      <xdr:row>0</xdr:row>
      <xdr:rowOff>0</xdr:rowOff>
    </xdr:from>
    <xdr:ext cx="610235" cy="124616"/>
    <xdr:sp macro="" textlink="">
      <xdr:nvSpPr>
        <xdr:cNvPr id="17" name="Shape 4">
          <a:extLst>
            <a:ext uri="{FF2B5EF4-FFF2-40B4-BE49-F238E27FC236}">
              <a16:creationId xmlns="" xmlns:a16="http://schemas.microsoft.com/office/drawing/2014/main" id="{5D951489-9D63-46E2-B4A8-3CAAE8D13581}"/>
            </a:ext>
          </a:extLst>
        </xdr:cNvPr>
        <xdr:cNvSpPr/>
      </xdr:nvSpPr>
      <xdr:spPr>
        <a:xfrm>
          <a:off x="4392595" y="0"/>
          <a:ext cx="610235" cy="124616"/>
        </a:xfrm>
        <a:custGeom>
          <a:avLst/>
          <a:gdLst/>
          <a:ahLst/>
          <a:cxnLst/>
          <a:rect l="0" t="0" r="0" b="0"/>
          <a:pathLst>
            <a:path w="610235">
              <a:moveTo>
                <a:pt x="0" y="0"/>
              </a:moveTo>
              <a:lnTo>
                <a:pt x="609640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1418939</xdr:colOff>
      <xdr:row>0</xdr:row>
      <xdr:rowOff>0</xdr:rowOff>
    </xdr:from>
    <xdr:ext cx="262255" cy="124616"/>
    <xdr:sp macro="" textlink="">
      <xdr:nvSpPr>
        <xdr:cNvPr id="18" name="Shape 3">
          <a:extLst>
            <a:ext uri="{FF2B5EF4-FFF2-40B4-BE49-F238E27FC236}">
              <a16:creationId xmlns="" xmlns:a16="http://schemas.microsoft.com/office/drawing/2014/main" id="{96D18C68-5F4B-4D33-B666-E195D16308E5}"/>
            </a:ext>
          </a:extLst>
        </xdr:cNvPr>
        <xdr:cNvSpPr/>
      </xdr:nvSpPr>
      <xdr:spPr>
        <a:xfrm>
          <a:off x="439073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687370</xdr:colOff>
      <xdr:row>0</xdr:row>
      <xdr:rowOff>0</xdr:rowOff>
    </xdr:from>
    <xdr:ext cx="610235" cy="124616"/>
    <xdr:sp macro="" textlink="">
      <xdr:nvSpPr>
        <xdr:cNvPr id="19" name="Shape 4">
          <a:extLst>
            <a:ext uri="{FF2B5EF4-FFF2-40B4-BE49-F238E27FC236}">
              <a16:creationId xmlns="" xmlns:a16="http://schemas.microsoft.com/office/drawing/2014/main" id="{60AB110A-A62B-45C0-9E38-D8E92F5D17B1}"/>
            </a:ext>
          </a:extLst>
        </xdr:cNvPr>
        <xdr:cNvSpPr/>
      </xdr:nvSpPr>
      <xdr:spPr>
        <a:xfrm>
          <a:off x="4392595" y="0"/>
          <a:ext cx="610235" cy="124616"/>
        </a:xfrm>
        <a:custGeom>
          <a:avLst/>
          <a:gdLst/>
          <a:ahLst/>
          <a:cxnLst/>
          <a:rect l="0" t="0" r="0" b="0"/>
          <a:pathLst>
            <a:path w="610235">
              <a:moveTo>
                <a:pt x="0" y="0"/>
              </a:moveTo>
              <a:lnTo>
                <a:pt x="609640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1418939</xdr:colOff>
      <xdr:row>0</xdr:row>
      <xdr:rowOff>0</xdr:rowOff>
    </xdr:from>
    <xdr:ext cx="262255" cy="124616"/>
    <xdr:sp macro="" textlink="">
      <xdr:nvSpPr>
        <xdr:cNvPr id="20" name="Shape 3">
          <a:extLst>
            <a:ext uri="{FF2B5EF4-FFF2-40B4-BE49-F238E27FC236}">
              <a16:creationId xmlns="" xmlns:a16="http://schemas.microsoft.com/office/drawing/2014/main" id="{7D303525-E5F7-4ACB-AFE2-B80237018A7C}"/>
            </a:ext>
          </a:extLst>
        </xdr:cNvPr>
        <xdr:cNvSpPr/>
      </xdr:nvSpPr>
      <xdr:spPr>
        <a:xfrm>
          <a:off x="439073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687370</xdr:colOff>
      <xdr:row>0</xdr:row>
      <xdr:rowOff>0</xdr:rowOff>
    </xdr:from>
    <xdr:ext cx="610235" cy="124616"/>
    <xdr:sp macro="" textlink="">
      <xdr:nvSpPr>
        <xdr:cNvPr id="21" name="Shape 4">
          <a:extLst>
            <a:ext uri="{FF2B5EF4-FFF2-40B4-BE49-F238E27FC236}">
              <a16:creationId xmlns="" xmlns:a16="http://schemas.microsoft.com/office/drawing/2014/main" id="{725C4CDA-A634-419A-8009-5BEA987E2508}"/>
            </a:ext>
          </a:extLst>
        </xdr:cNvPr>
        <xdr:cNvSpPr/>
      </xdr:nvSpPr>
      <xdr:spPr>
        <a:xfrm>
          <a:off x="4392595" y="0"/>
          <a:ext cx="610235" cy="124616"/>
        </a:xfrm>
        <a:custGeom>
          <a:avLst/>
          <a:gdLst/>
          <a:ahLst/>
          <a:cxnLst/>
          <a:rect l="0" t="0" r="0" b="0"/>
          <a:pathLst>
            <a:path w="610235">
              <a:moveTo>
                <a:pt x="0" y="0"/>
              </a:moveTo>
              <a:lnTo>
                <a:pt x="609640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1418939</xdr:colOff>
      <xdr:row>0</xdr:row>
      <xdr:rowOff>0</xdr:rowOff>
    </xdr:from>
    <xdr:ext cx="262255" cy="124616"/>
    <xdr:sp macro="" textlink="">
      <xdr:nvSpPr>
        <xdr:cNvPr id="22" name="Shape 3">
          <a:extLst>
            <a:ext uri="{FF2B5EF4-FFF2-40B4-BE49-F238E27FC236}">
              <a16:creationId xmlns="" xmlns:a16="http://schemas.microsoft.com/office/drawing/2014/main" id="{EB8F9C24-A69D-439B-BF0C-029E76785264}"/>
            </a:ext>
          </a:extLst>
        </xdr:cNvPr>
        <xdr:cNvSpPr/>
      </xdr:nvSpPr>
      <xdr:spPr>
        <a:xfrm>
          <a:off x="439073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687370</xdr:colOff>
      <xdr:row>0</xdr:row>
      <xdr:rowOff>0</xdr:rowOff>
    </xdr:from>
    <xdr:ext cx="610235" cy="124616"/>
    <xdr:sp macro="" textlink="">
      <xdr:nvSpPr>
        <xdr:cNvPr id="23" name="Shape 4">
          <a:extLst>
            <a:ext uri="{FF2B5EF4-FFF2-40B4-BE49-F238E27FC236}">
              <a16:creationId xmlns="" xmlns:a16="http://schemas.microsoft.com/office/drawing/2014/main" id="{DC228CAB-2FC6-4F01-A5F5-C7607419B827}"/>
            </a:ext>
          </a:extLst>
        </xdr:cNvPr>
        <xdr:cNvSpPr/>
      </xdr:nvSpPr>
      <xdr:spPr>
        <a:xfrm>
          <a:off x="4392595" y="0"/>
          <a:ext cx="610235" cy="124616"/>
        </a:xfrm>
        <a:custGeom>
          <a:avLst/>
          <a:gdLst/>
          <a:ahLst/>
          <a:cxnLst/>
          <a:rect l="0" t="0" r="0" b="0"/>
          <a:pathLst>
            <a:path w="610235">
              <a:moveTo>
                <a:pt x="0" y="0"/>
              </a:moveTo>
              <a:lnTo>
                <a:pt x="609640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7</xdr:col>
      <xdr:colOff>1418939</xdr:colOff>
      <xdr:row>0</xdr:row>
      <xdr:rowOff>0</xdr:rowOff>
    </xdr:from>
    <xdr:ext cx="262255" cy="124616"/>
    <xdr:sp macro="" textlink="">
      <xdr:nvSpPr>
        <xdr:cNvPr id="24" name="Shape 3">
          <a:extLst>
            <a:ext uri="{FF2B5EF4-FFF2-40B4-BE49-F238E27FC236}">
              <a16:creationId xmlns="" xmlns:a16="http://schemas.microsoft.com/office/drawing/2014/main" id="{5710F8E4-EB0A-48C3-9B79-5FC4A33DC9D7}"/>
            </a:ext>
          </a:extLst>
        </xdr:cNvPr>
        <xdr:cNvSpPr/>
      </xdr:nvSpPr>
      <xdr:spPr>
        <a:xfrm>
          <a:off x="439073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twoCellAnchor editAs="oneCell">
    <xdr:from>
      <xdr:col>12</xdr:col>
      <xdr:colOff>1419225</xdr:colOff>
      <xdr:row>0</xdr:row>
      <xdr:rowOff>0</xdr:rowOff>
    </xdr:from>
    <xdr:to>
      <xdr:col>13</xdr:col>
      <xdr:colOff>266700</xdr:colOff>
      <xdr:row>0</xdr:row>
      <xdr:rowOff>123825</xdr:rowOff>
    </xdr:to>
    <xdr:sp macro="" textlink="">
      <xdr:nvSpPr>
        <xdr:cNvPr id="25" name="Shape 3">
          <a:extLst>
            <a:ext uri="{FF2B5EF4-FFF2-40B4-BE49-F238E27FC236}">
              <a16:creationId xmlns="" xmlns:a16="http://schemas.microsoft.com/office/drawing/2014/main" id="{CC30D6EA-1332-4482-BB5D-95FB8D9D15CF}"/>
            </a:ext>
          </a:extLst>
        </xdr:cNvPr>
        <xdr:cNvSpPr>
          <a:spLocks noChangeArrowheads="1"/>
        </xdr:cNvSpPr>
      </xdr:nvSpPr>
      <xdr:spPr bwMode="auto">
        <a:xfrm>
          <a:off x="5991225" y="0"/>
          <a:ext cx="266700" cy="123825"/>
        </a:xfrm>
        <a:custGeom>
          <a:avLst/>
          <a:gdLst>
            <a:gd name="T0" fmla="*/ 0 w 262255"/>
            <a:gd name="T1" fmla="*/ 0 h 1"/>
            <a:gd name="T2" fmla="*/ 289959 w 262255"/>
            <a:gd name="T3" fmla="*/ 0 h 1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262255" h="1">
              <a:moveTo>
                <a:pt x="0" y="0"/>
              </a:moveTo>
              <a:lnTo>
                <a:pt x="262145" y="0"/>
              </a:lnTo>
            </a:path>
          </a:pathLst>
        </a:custGeom>
        <a:noFill/>
        <a:ln w="9144">
          <a:solidFill>
            <a:srgbClr val="0C0C0C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26" name="Shape 3">
          <a:extLst>
            <a:ext uri="{FF2B5EF4-FFF2-40B4-BE49-F238E27FC236}">
              <a16:creationId xmlns="" xmlns:a16="http://schemas.microsoft.com/office/drawing/2014/main" id="{2952C7DD-8614-4E9E-893E-EFEE9511936A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687370</xdr:colOff>
      <xdr:row>0</xdr:row>
      <xdr:rowOff>0</xdr:rowOff>
    </xdr:from>
    <xdr:ext cx="610235" cy="124616"/>
    <xdr:sp macro="" textlink="">
      <xdr:nvSpPr>
        <xdr:cNvPr id="27" name="Shape 4">
          <a:extLst>
            <a:ext uri="{FF2B5EF4-FFF2-40B4-BE49-F238E27FC236}">
              <a16:creationId xmlns="" xmlns:a16="http://schemas.microsoft.com/office/drawing/2014/main" id="{FC776972-1E6E-4B8C-9F99-9313CD2D52E9}"/>
            </a:ext>
          </a:extLst>
        </xdr:cNvPr>
        <xdr:cNvSpPr/>
      </xdr:nvSpPr>
      <xdr:spPr>
        <a:xfrm>
          <a:off x="1011220" y="0"/>
          <a:ext cx="610235" cy="124616"/>
        </a:xfrm>
        <a:custGeom>
          <a:avLst/>
          <a:gdLst/>
          <a:ahLst/>
          <a:cxnLst/>
          <a:rect l="0" t="0" r="0" b="0"/>
          <a:pathLst>
            <a:path w="610235">
              <a:moveTo>
                <a:pt x="0" y="0"/>
              </a:moveTo>
              <a:lnTo>
                <a:pt x="609640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28" name="Shape 3">
          <a:extLst>
            <a:ext uri="{FF2B5EF4-FFF2-40B4-BE49-F238E27FC236}">
              <a16:creationId xmlns="" xmlns:a16="http://schemas.microsoft.com/office/drawing/2014/main" id="{B74FD379-1110-4C01-B1DA-2D8725B4FC3C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29" name="Shape 3">
          <a:extLst>
            <a:ext uri="{FF2B5EF4-FFF2-40B4-BE49-F238E27FC236}">
              <a16:creationId xmlns="" xmlns:a16="http://schemas.microsoft.com/office/drawing/2014/main" id="{314239A2-59B6-4DCE-954D-496F1673B5F2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30" name="Shape 3">
          <a:extLst>
            <a:ext uri="{FF2B5EF4-FFF2-40B4-BE49-F238E27FC236}">
              <a16:creationId xmlns="" xmlns:a16="http://schemas.microsoft.com/office/drawing/2014/main" id="{9A725C99-A46A-4CCB-B58F-981B73BDEA77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31" name="Shape 3">
          <a:extLst>
            <a:ext uri="{FF2B5EF4-FFF2-40B4-BE49-F238E27FC236}">
              <a16:creationId xmlns="" xmlns:a16="http://schemas.microsoft.com/office/drawing/2014/main" id="{60F1A369-EC30-4E4A-98C4-5FFDC513A8F5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32" name="Shape 3">
          <a:extLst>
            <a:ext uri="{FF2B5EF4-FFF2-40B4-BE49-F238E27FC236}">
              <a16:creationId xmlns="" xmlns:a16="http://schemas.microsoft.com/office/drawing/2014/main" id="{5DB59090-CBF6-4ED9-A608-018DCBBA80F8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  <xdr:txBody>
        <a:bodyPr/>
        <a:lstStyle/>
        <a:p>
          <a:endParaRPr lang="en-AE"/>
        </a:p>
      </xdr:txBody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33" name="Shape 3">
          <a:extLst>
            <a:ext uri="{FF2B5EF4-FFF2-40B4-BE49-F238E27FC236}">
              <a16:creationId xmlns="" xmlns:a16="http://schemas.microsoft.com/office/drawing/2014/main" id="{6D62EEC8-35B0-4FF7-96BE-397F9F9B91EC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687370</xdr:colOff>
      <xdr:row>0</xdr:row>
      <xdr:rowOff>0</xdr:rowOff>
    </xdr:from>
    <xdr:ext cx="610235" cy="124616"/>
    <xdr:sp macro="" textlink="">
      <xdr:nvSpPr>
        <xdr:cNvPr id="34" name="Shape 4">
          <a:extLst>
            <a:ext uri="{FF2B5EF4-FFF2-40B4-BE49-F238E27FC236}">
              <a16:creationId xmlns="" xmlns:a16="http://schemas.microsoft.com/office/drawing/2014/main" id="{53BE9745-F8FA-4454-BA21-AD1BE2F7A6FA}"/>
            </a:ext>
          </a:extLst>
        </xdr:cNvPr>
        <xdr:cNvSpPr/>
      </xdr:nvSpPr>
      <xdr:spPr>
        <a:xfrm>
          <a:off x="1011220" y="0"/>
          <a:ext cx="610235" cy="124616"/>
        </a:xfrm>
        <a:custGeom>
          <a:avLst/>
          <a:gdLst/>
          <a:ahLst/>
          <a:cxnLst/>
          <a:rect l="0" t="0" r="0" b="0"/>
          <a:pathLst>
            <a:path w="610235">
              <a:moveTo>
                <a:pt x="0" y="0"/>
              </a:moveTo>
              <a:lnTo>
                <a:pt x="609640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35" name="Shape 3">
          <a:extLst>
            <a:ext uri="{FF2B5EF4-FFF2-40B4-BE49-F238E27FC236}">
              <a16:creationId xmlns="" xmlns:a16="http://schemas.microsoft.com/office/drawing/2014/main" id="{82D4EC07-AC6C-489F-9AF9-0AE6F9450424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36" name="Shape 3">
          <a:extLst>
            <a:ext uri="{FF2B5EF4-FFF2-40B4-BE49-F238E27FC236}">
              <a16:creationId xmlns="" xmlns:a16="http://schemas.microsoft.com/office/drawing/2014/main" id="{66225D2B-9ED7-4B7B-9098-ADC1FE5A281D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37" name="Shape 3">
          <a:extLst>
            <a:ext uri="{FF2B5EF4-FFF2-40B4-BE49-F238E27FC236}">
              <a16:creationId xmlns="" xmlns:a16="http://schemas.microsoft.com/office/drawing/2014/main" id="{3DFB09BD-D301-47E7-9398-7380DD501F13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38" name="Shape 3">
          <a:extLst>
            <a:ext uri="{FF2B5EF4-FFF2-40B4-BE49-F238E27FC236}">
              <a16:creationId xmlns="" xmlns:a16="http://schemas.microsoft.com/office/drawing/2014/main" id="{18E3C12D-8C3C-4514-9A56-830995C8DBCE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39" name="Shape 3">
          <a:extLst>
            <a:ext uri="{FF2B5EF4-FFF2-40B4-BE49-F238E27FC236}">
              <a16:creationId xmlns="" xmlns:a16="http://schemas.microsoft.com/office/drawing/2014/main" id="{26FDB3E2-56F8-40C9-8833-5FBA21BF58E4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40" name="Shape 3">
          <a:extLst>
            <a:ext uri="{FF2B5EF4-FFF2-40B4-BE49-F238E27FC236}">
              <a16:creationId xmlns="" xmlns:a16="http://schemas.microsoft.com/office/drawing/2014/main" id="{66D2AB65-AC94-4732-9420-84EA9889D885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41" name="Shape 3">
          <a:extLst>
            <a:ext uri="{FF2B5EF4-FFF2-40B4-BE49-F238E27FC236}">
              <a16:creationId xmlns="" xmlns:a16="http://schemas.microsoft.com/office/drawing/2014/main" id="{A5BDD2A4-70F5-4AED-B446-B904902F34CE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42" name="Shape 3">
          <a:extLst>
            <a:ext uri="{FF2B5EF4-FFF2-40B4-BE49-F238E27FC236}">
              <a16:creationId xmlns="" xmlns:a16="http://schemas.microsoft.com/office/drawing/2014/main" id="{33E1B918-9A24-493A-B41C-66D30A0B3D14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43" name="Shape 3">
          <a:extLst>
            <a:ext uri="{FF2B5EF4-FFF2-40B4-BE49-F238E27FC236}">
              <a16:creationId xmlns="" xmlns:a16="http://schemas.microsoft.com/office/drawing/2014/main" id="{C0D5B4FF-2E56-4B9E-9F60-1B110878798C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44" name="Shape 3">
          <a:extLst>
            <a:ext uri="{FF2B5EF4-FFF2-40B4-BE49-F238E27FC236}">
              <a16:creationId xmlns="" xmlns:a16="http://schemas.microsoft.com/office/drawing/2014/main" id="{1FE7DEFB-2128-4174-9305-F7DFAEAFA931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45" name="Shape 3">
          <a:extLst>
            <a:ext uri="{FF2B5EF4-FFF2-40B4-BE49-F238E27FC236}">
              <a16:creationId xmlns="" xmlns:a16="http://schemas.microsoft.com/office/drawing/2014/main" id="{30BCDA77-004C-4CEA-AE50-057DEBC6743F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46" name="Shape 3">
          <a:extLst>
            <a:ext uri="{FF2B5EF4-FFF2-40B4-BE49-F238E27FC236}">
              <a16:creationId xmlns="" xmlns:a16="http://schemas.microsoft.com/office/drawing/2014/main" id="{7E0D96DD-158D-4755-828D-E1F60461D659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47" name="Shape 3">
          <a:extLst>
            <a:ext uri="{FF2B5EF4-FFF2-40B4-BE49-F238E27FC236}">
              <a16:creationId xmlns="" xmlns:a16="http://schemas.microsoft.com/office/drawing/2014/main" id="{207B5E64-9800-4C50-88A6-D7EDCFC8759A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48" name="Shape 3">
          <a:extLst>
            <a:ext uri="{FF2B5EF4-FFF2-40B4-BE49-F238E27FC236}">
              <a16:creationId xmlns="" xmlns:a16="http://schemas.microsoft.com/office/drawing/2014/main" id="{1DF312CE-2D1D-4C3E-AA6B-7326F4282E46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49" name="Shape 3">
          <a:extLst>
            <a:ext uri="{FF2B5EF4-FFF2-40B4-BE49-F238E27FC236}">
              <a16:creationId xmlns="" xmlns:a16="http://schemas.microsoft.com/office/drawing/2014/main" id="{E8A07F8D-A47C-41E0-A849-B89E6894B16E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50" name="Shape 3">
          <a:extLst>
            <a:ext uri="{FF2B5EF4-FFF2-40B4-BE49-F238E27FC236}">
              <a16:creationId xmlns="" xmlns:a16="http://schemas.microsoft.com/office/drawing/2014/main" id="{465473B1-1E9E-44FD-AE4E-CB48F319452F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51" name="Shape 3">
          <a:extLst>
            <a:ext uri="{FF2B5EF4-FFF2-40B4-BE49-F238E27FC236}">
              <a16:creationId xmlns="" xmlns:a16="http://schemas.microsoft.com/office/drawing/2014/main" id="{8863028C-0F48-401C-A5EC-3E64000713CF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52" name="Shape 3">
          <a:extLst>
            <a:ext uri="{FF2B5EF4-FFF2-40B4-BE49-F238E27FC236}">
              <a16:creationId xmlns="" xmlns:a16="http://schemas.microsoft.com/office/drawing/2014/main" id="{E69C78A6-4BCD-48BF-B127-1415936D62F9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53" name="Shape 3">
          <a:extLst>
            <a:ext uri="{FF2B5EF4-FFF2-40B4-BE49-F238E27FC236}">
              <a16:creationId xmlns="" xmlns:a16="http://schemas.microsoft.com/office/drawing/2014/main" id="{F7EB41FC-C6D0-420F-98A2-9468D370FEAA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54" name="Shape 3">
          <a:extLst>
            <a:ext uri="{FF2B5EF4-FFF2-40B4-BE49-F238E27FC236}">
              <a16:creationId xmlns="" xmlns:a16="http://schemas.microsoft.com/office/drawing/2014/main" id="{7F8FC7CF-4383-48D0-8BD3-1EC822A9A4CB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55" name="Shape 3">
          <a:extLst>
            <a:ext uri="{FF2B5EF4-FFF2-40B4-BE49-F238E27FC236}">
              <a16:creationId xmlns="" xmlns:a16="http://schemas.microsoft.com/office/drawing/2014/main" id="{FC11FADD-8634-45B2-9298-461EEDE5C49B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56" name="Shape 3">
          <a:extLst>
            <a:ext uri="{FF2B5EF4-FFF2-40B4-BE49-F238E27FC236}">
              <a16:creationId xmlns="" xmlns:a16="http://schemas.microsoft.com/office/drawing/2014/main" id="{C85CE7B7-CF3D-4B52-AC74-E0FBAF4A2451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57" name="Shape 3">
          <a:extLst>
            <a:ext uri="{FF2B5EF4-FFF2-40B4-BE49-F238E27FC236}">
              <a16:creationId xmlns="" xmlns:a16="http://schemas.microsoft.com/office/drawing/2014/main" id="{273E2E70-50FC-45C7-ADA4-04D882ADF9E5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58" name="Shape 3">
          <a:extLst>
            <a:ext uri="{FF2B5EF4-FFF2-40B4-BE49-F238E27FC236}">
              <a16:creationId xmlns="" xmlns:a16="http://schemas.microsoft.com/office/drawing/2014/main" id="{7469763E-0E07-4906-A9EB-3A95AFED63AD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59" name="Shape 3">
          <a:extLst>
            <a:ext uri="{FF2B5EF4-FFF2-40B4-BE49-F238E27FC236}">
              <a16:creationId xmlns="" xmlns:a16="http://schemas.microsoft.com/office/drawing/2014/main" id="{572F6E51-D0ED-463D-A114-BC604984891C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60" name="Shape 3">
          <a:extLst>
            <a:ext uri="{FF2B5EF4-FFF2-40B4-BE49-F238E27FC236}">
              <a16:creationId xmlns="" xmlns:a16="http://schemas.microsoft.com/office/drawing/2014/main" id="{7A5ECBEB-BF42-454F-B772-877EF9FAB81E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61" name="Shape 3">
          <a:extLst>
            <a:ext uri="{FF2B5EF4-FFF2-40B4-BE49-F238E27FC236}">
              <a16:creationId xmlns="" xmlns:a16="http://schemas.microsoft.com/office/drawing/2014/main" id="{3E58E009-145A-4BF8-BCE6-FE07A672EC46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62" name="Shape 3">
          <a:extLst>
            <a:ext uri="{FF2B5EF4-FFF2-40B4-BE49-F238E27FC236}">
              <a16:creationId xmlns="" xmlns:a16="http://schemas.microsoft.com/office/drawing/2014/main" id="{AC784062-3F65-4726-80A3-2B28769B4D1F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63" name="Shape 3">
          <a:extLst>
            <a:ext uri="{FF2B5EF4-FFF2-40B4-BE49-F238E27FC236}">
              <a16:creationId xmlns="" xmlns:a16="http://schemas.microsoft.com/office/drawing/2014/main" id="{E68B4B75-7ECA-4FCD-B71E-AB6D7C53F0E1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64" name="Shape 3">
          <a:extLst>
            <a:ext uri="{FF2B5EF4-FFF2-40B4-BE49-F238E27FC236}">
              <a16:creationId xmlns="" xmlns:a16="http://schemas.microsoft.com/office/drawing/2014/main" id="{EC9640C6-991C-49B4-8A6A-5B00C9C48D02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65" name="Shape 3">
          <a:extLst>
            <a:ext uri="{FF2B5EF4-FFF2-40B4-BE49-F238E27FC236}">
              <a16:creationId xmlns="" xmlns:a16="http://schemas.microsoft.com/office/drawing/2014/main" id="{2957B97B-223C-44EC-94AA-3BCA8D812F9C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66" name="Shape 3">
          <a:extLst>
            <a:ext uri="{FF2B5EF4-FFF2-40B4-BE49-F238E27FC236}">
              <a16:creationId xmlns="" xmlns:a16="http://schemas.microsoft.com/office/drawing/2014/main" id="{31A9F877-2EC9-4069-9AD2-F9F68A1C6107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67" name="Shape 3">
          <a:extLst>
            <a:ext uri="{FF2B5EF4-FFF2-40B4-BE49-F238E27FC236}">
              <a16:creationId xmlns="" xmlns:a16="http://schemas.microsoft.com/office/drawing/2014/main" id="{039C9B8F-FBD4-43B8-93E2-E43E1DE9EF48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68" name="Shape 3">
          <a:extLst>
            <a:ext uri="{FF2B5EF4-FFF2-40B4-BE49-F238E27FC236}">
              <a16:creationId xmlns="" xmlns:a16="http://schemas.microsoft.com/office/drawing/2014/main" id="{3FAEC421-AD7D-4AAC-9793-A228B124F80E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69" name="Shape 3">
          <a:extLst>
            <a:ext uri="{FF2B5EF4-FFF2-40B4-BE49-F238E27FC236}">
              <a16:creationId xmlns="" xmlns:a16="http://schemas.microsoft.com/office/drawing/2014/main" id="{B0F9705B-5C8D-450A-93CB-EA7E5C0EB2D7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oneCellAnchor>
    <xdr:from>
      <xdr:col>0</xdr:col>
      <xdr:colOff>1418939</xdr:colOff>
      <xdr:row>0</xdr:row>
      <xdr:rowOff>0</xdr:rowOff>
    </xdr:from>
    <xdr:ext cx="262255" cy="124616"/>
    <xdr:sp macro="" textlink="">
      <xdr:nvSpPr>
        <xdr:cNvPr id="70" name="Shape 3">
          <a:extLst>
            <a:ext uri="{FF2B5EF4-FFF2-40B4-BE49-F238E27FC236}">
              <a16:creationId xmlns="" xmlns:a16="http://schemas.microsoft.com/office/drawing/2014/main" id="{1FDFFDA1-B6F7-452C-8109-90844BD2CA69}"/>
            </a:ext>
          </a:extLst>
        </xdr:cNvPr>
        <xdr:cNvSpPr/>
      </xdr:nvSpPr>
      <xdr:spPr>
        <a:xfrm>
          <a:off x="1742789" y="0"/>
          <a:ext cx="262255" cy="124616"/>
        </a:xfrm>
        <a:custGeom>
          <a:avLst/>
          <a:gdLst/>
          <a:ahLst/>
          <a:cxnLst/>
          <a:rect l="0" t="0" r="0" b="0"/>
          <a:pathLst>
            <a:path w="262255">
              <a:moveTo>
                <a:pt x="0" y="0"/>
              </a:moveTo>
              <a:lnTo>
                <a:pt x="262145" y="0"/>
              </a:lnTo>
            </a:path>
          </a:pathLst>
        </a:custGeom>
        <a:ln w="9144">
          <a:solidFill>
            <a:srgbClr val="0C0C0C"/>
          </a:solidFill>
        </a:ln>
      </xdr:spPr>
    </xdr:sp>
    <xdr:clientData/>
  </xdr:oneCellAnchor>
  <xdr:twoCellAnchor editAs="oneCell">
    <xdr:from>
      <xdr:col>0</xdr:col>
      <xdr:colOff>28575</xdr:colOff>
      <xdr:row>0</xdr:row>
      <xdr:rowOff>114300</xdr:rowOff>
    </xdr:from>
    <xdr:to>
      <xdr:col>1</xdr:col>
      <xdr:colOff>1447800</xdr:colOff>
      <xdr:row>0</xdr:row>
      <xdr:rowOff>1183555</xdr:rowOff>
    </xdr:to>
    <xdr:pic>
      <xdr:nvPicPr>
        <xdr:cNvPr id="71" name="Picture 70">
          <a:extLst>
            <a:ext uri="{FF2B5EF4-FFF2-40B4-BE49-F238E27FC236}">
              <a16:creationId xmlns="" xmlns:a16="http://schemas.microsoft.com/office/drawing/2014/main" id="{B8063BE5-0C29-4964-AE3B-FE4EC517D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14300"/>
          <a:ext cx="1743075" cy="10692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180975</xdr:rowOff>
    </xdr:from>
    <xdr:to>
      <xdr:col>1</xdr:col>
      <xdr:colOff>1185352</xdr:colOff>
      <xdr:row>24</xdr:row>
      <xdr:rowOff>133350</xdr:rowOff>
    </xdr:to>
    <xdr:pic>
      <xdr:nvPicPr>
        <xdr:cNvPr id="72" name="Picture 71">
          <a:extLst>
            <a:ext uri="{FF2B5EF4-FFF2-40B4-BE49-F238E27FC236}">
              <a16:creationId xmlns="" xmlns:a16="http://schemas.microsoft.com/office/drawing/2014/main" id="{7720C363-6541-4CB3-A419-9FC6176B29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414" t="9730" r="14477" b="19476"/>
        <a:stretch/>
      </xdr:blipFill>
      <xdr:spPr>
        <a:xfrm>
          <a:off x="0" y="6334125"/>
          <a:ext cx="1509202" cy="139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P26"/>
  <sheetViews>
    <sheetView tabSelected="1" workbookViewId="0">
      <selection activeCell="U20" sqref="U20"/>
    </sheetView>
  </sheetViews>
  <sheetFormatPr defaultRowHeight="15" x14ac:dyDescent="0.25"/>
  <cols>
    <col min="1" max="1" width="4.85546875" customWidth="1"/>
    <col min="2" max="2" width="32.85546875" bestFit="1" customWidth="1"/>
    <col min="3" max="3" width="18.140625" bestFit="1" customWidth="1"/>
    <col min="4" max="4" width="14.28515625" customWidth="1"/>
    <col min="5" max="5" width="13.28515625" customWidth="1"/>
    <col min="6" max="6" width="8.85546875" customWidth="1"/>
    <col min="7" max="7" width="10.7109375" bestFit="1" customWidth="1"/>
    <col min="8" max="8" width="9.28515625" style="29" bestFit="1" customWidth="1"/>
    <col min="9" max="9" width="8.5703125" style="29" bestFit="1" customWidth="1"/>
    <col min="10" max="10" width="5" style="29" bestFit="1" customWidth="1"/>
    <col min="11" max="11" width="12.28515625" style="29" bestFit="1" customWidth="1"/>
    <col min="12" max="12" width="7.42578125" style="29" bestFit="1" customWidth="1"/>
    <col min="13" max="13" width="13.42578125" customWidth="1"/>
    <col min="14" max="14" width="10.140625" customWidth="1"/>
    <col min="15" max="15" width="14.5703125" style="30" bestFit="1" customWidth="1"/>
    <col min="16" max="16" width="14.28515625" style="30" bestFit="1" customWidth="1"/>
    <col min="17" max="17" width="13.7109375" bestFit="1" customWidth="1"/>
  </cols>
  <sheetData>
    <row r="1" spans="1:16" ht="104.25" customHeight="1" thickBot="1" x14ac:dyDescent="0.3">
      <c r="A1" s="106" t="s">
        <v>26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8"/>
    </row>
    <row r="2" spans="1:16" ht="15.75" x14ac:dyDescent="0.25">
      <c r="A2" s="1" t="s">
        <v>0</v>
      </c>
      <c r="B2" s="2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3" t="s">
        <v>1</v>
      </c>
      <c r="N2" s="115" t="s">
        <v>67</v>
      </c>
      <c r="O2" s="115"/>
      <c r="P2" s="116"/>
    </row>
    <row r="3" spans="1:16" ht="15.75" x14ac:dyDescent="0.25">
      <c r="A3" s="4" t="s">
        <v>2</v>
      </c>
      <c r="B3" s="5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6" t="s">
        <v>3</v>
      </c>
      <c r="N3" s="117">
        <v>46069</v>
      </c>
      <c r="O3" s="117"/>
      <c r="P3" s="7"/>
    </row>
    <row r="4" spans="1:16" x14ac:dyDescent="0.25">
      <c r="A4" s="4" t="s">
        <v>24</v>
      </c>
      <c r="B4" s="5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8" t="s">
        <v>4</v>
      </c>
      <c r="N4" s="118" t="s">
        <v>48</v>
      </c>
      <c r="O4" s="118"/>
      <c r="P4" s="119"/>
    </row>
    <row r="5" spans="1:16" ht="15.75" thickBot="1" x14ac:dyDescent="0.3">
      <c r="A5" s="9" t="s">
        <v>5</v>
      </c>
      <c r="B5" s="10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1" t="s">
        <v>6</v>
      </c>
      <c r="N5" s="12" t="s">
        <v>44</v>
      </c>
      <c r="O5" s="13"/>
      <c r="P5" s="14"/>
    </row>
    <row r="6" spans="1:16" ht="15.75" customHeight="1" thickBot="1" x14ac:dyDescent="0.3">
      <c r="A6" s="4"/>
      <c r="B6" s="61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61"/>
      <c r="N6" s="61"/>
      <c r="O6" s="61"/>
      <c r="P6" s="62"/>
    </row>
    <row r="7" spans="1:16" ht="21" x14ac:dyDescent="0.25">
      <c r="A7" s="15" t="s">
        <v>7</v>
      </c>
      <c r="B7" s="16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7" t="s">
        <v>8</v>
      </c>
      <c r="N7" s="18"/>
      <c r="O7" s="18"/>
      <c r="P7" s="19"/>
    </row>
    <row r="8" spans="1:16" ht="18.75" customHeight="1" x14ac:dyDescent="0.25">
      <c r="A8" s="20" t="s">
        <v>9</v>
      </c>
      <c r="B8" s="21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0" t="s">
        <v>27</v>
      </c>
      <c r="N8" s="121"/>
      <c r="O8" s="121"/>
      <c r="P8" s="122"/>
    </row>
    <row r="9" spans="1:16" ht="15.75" x14ac:dyDescent="0.25">
      <c r="A9" s="109" t="s">
        <v>10</v>
      </c>
      <c r="B9" s="110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09" t="s">
        <v>28</v>
      </c>
      <c r="N9" s="111"/>
      <c r="O9" s="111"/>
      <c r="P9" s="110"/>
    </row>
    <row r="10" spans="1:16" ht="15.75" x14ac:dyDescent="0.25">
      <c r="A10" s="109" t="s">
        <v>11</v>
      </c>
      <c r="B10" s="110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09" t="s">
        <v>29</v>
      </c>
      <c r="N10" s="111"/>
      <c r="O10" s="111"/>
      <c r="P10" s="110"/>
    </row>
    <row r="11" spans="1:16" ht="15.75" x14ac:dyDescent="0.25">
      <c r="A11" s="22" t="s">
        <v>12</v>
      </c>
      <c r="B11" s="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12" t="s">
        <v>25</v>
      </c>
      <c r="N11" s="113"/>
      <c r="O11" s="113"/>
      <c r="P11" s="114"/>
    </row>
    <row r="12" spans="1:16" ht="15.75" x14ac:dyDescent="0.25">
      <c r="A12" s="22" t="s">
        <v>13</v>
      </c>
      <c r="B12" s="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12" t="s">
        <v>30</v>
      </c>
      <c r="N12" s="113"/>
      <c r="O12" s="113"/>
      <c r="P12" s="114"/>
    </row>
    <row r="13" spans="1:16" ht="15.75" x14ac:dyDescent="0.25">
      <c r="A13" s="22" t="s">
        <v>14</v>
      </c>
      <c r="B13" s="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49" t="s">
        <v>31</v>
      </c>
      <c r="N13" s="53"/>
      <c r="O13" s="53"/>
      <c r="P13" s="50"/>
    </row>
    <row r="14" spans="1:16" ht="15.75" x14ac:dyDescent="0.25">
      <c r="A14" s="22"/>
      <c r="B14" s="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49" t="s">
        <v>32</v>
      </c>
      <c r="N14" s="53"/>
      <c r="O14" s="53"/>
      <c r="P14" s="50"/>
    </row>
    <row r="15" spans="1:16" ht="16.5" thickBot="1" x14ac:dyDescent="0.3">
      <c r="A15" s="24"/>
      <c r="B15" s="25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26" t="s">
        <v>33</v>
      </c>
      <c r="N15" s="27"/>
      <c r="O15" s="27"/>
      <c r="P15" s="28"/>
    </row>
    <row r="16" spans="1:16" ht="15.75" thickBot="1" x14ac:dyDescent="0.3">
      <c r="A16" s="100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2"/>
    </row>
    <row r="17" spans="1:16" ht="26.25" thickBot="1" x14ac:dyDescent="0.3">
      <c r="A17" s="54" t="s">
        <v>15</v>
      </c>
      <c r="B17" s="55" t="s">
        <v>16</v>
      </c>
      <c r="C17" s="85" t="s">
        <v>35</v>
      </c>
      <c r="D17" s="85" t="s">
        <v>62</v>
      </c>
      <c r="E17" s="85" t="s">
        <v>46</v>
      </c>
      <c r="F17" s="85" t="s">
        <v>45</v>
      </c>
      <c r="G17" s="55" t="s">
        <v>47</v>
      </c>
      <c r="H17" s="56" t="s">
        <v>17</v>
      </c>
      <c r="I17" s="56" t="s">
        <v>36</v>
      </c>
      <c r="J17" s="56" t="s">
        <v>38</v>
      </c>
      <c r="K17" s="56" t="s">
        <v>39</v>
      </c>
      <c r="L17" s="56" t="s">
        <v>41</v>
      </c>
      <c r="M17" s="54" t="s">
        <v>18</v>
      </c>
      <c r="N17" s="57" t="s">
        <v>19</v>
      </c>
      <c r="O17" s="58" t="s">
        <v>42</v>
      </c>
      <c r="P17" s="56" t="s">
        <v>43</v>
      </c>
    </row>
    <row r="18" spans="1:16" ht="30" customHeight="1" x14ac:dyDescent="0.25">
      <c r="A18" s="44">
        <v>1</v>
      </c>
      <c r="B18" s="45" t="s">
        <v>55</v>
      </c>
      <c r="C18" s="45" t="s">
        <v>50</v>
      </c>
      <c r="D18" s="82" t="s">
        <v>64</v>
      </c>
      <c r="E18" s="82" t="s">
        <v>63</v>
      </c>
      <c r="F18" s="82" t="s">
        <v>51</v>
      </c>
      <c r="G18" s="82" t="s">
        <v>59</v>
      </c>
      <c r="H18" s="46" t="s">
        <v>53</v>
      </c>
      <c r="I18" s="46" t="s">
        <v>37</v>
      </c>
      <c r="J18" s="46">
        <v>2024</v>
      </c>
      <c r="K18" s="46" t="s">
        <v>57</v>
      </c>
      <c r="L18" s="59">
        <v>6000</v>
      </c>
      <c r="M18" s="47" t="s">
        <v>40</v>
      </c>
      <c r="N18" s="47">
        <v>1</v>
      </c>
      <c r="O18" s="72">
        <v>128000</v>
      </c>
      <c r="P18" s="73">
        <f>+O18*N18</f>
        <v>128000</v>
      </c>
    </row>
    <row r="19" spans="1:16" ht="30" customHeight="1" thickBot="1" x14ac:dyDescent="0.3">
      <c r="A19" s="32">
        <v>2</v>
      </c>
      <c r="B19" s="33" t="s">
        <v>56</v>
      </c>
      <c r="C19" s="33" t="s">
        <v>49</v>
      </c>
      <c r="D19" s="83" t="s">
        <v>61</v>
      </c>
      <c r="E19" s="83" t="s">
        <v>65</v>
      </c>
      <c r="F19" s="83" t="s">
        <v>52</v>
      </c>
      <c r="G19" s="83" t="s">
        <v>60</v>
      </c>
      <c r="H19" s="48" t="s">
        <v>54</v>
      </c>
      <c r="I19" s="48" t="s">
        <v>37</v>
      </c>
      <c r="J19" s="48">
        <v>2012</v>
      </c>
      <c r="K19" s="48" t="s">
        <v>58</v>
      </c>
      <c r="L19" s="60">
        <v>7000</v>
      </c>
      <c r="M19" s="34" t="s">
        <v>40</v>
      </c>
      <c r="N19" s="34">
        <v>1</v>
      </c>
      <c r="O19" s="74">
        <v>80000</v>
      </c>
      <c r="P19" s="75">
        <f>+O19*N19</f>
        <v>80000</v>
      </c>
    </row>
    <row r="20" spans="1:16" ht="20.100000000000001" customHeight="1" thickBot="1" x14ac:dyDescent="0.3">
      <c r="A20" s="35"/>
      <c r="B20" s="63" t="s">
        <v>66</v>
      </c>
      <c r="C20" s="63"/>
      <c r="D20" s="63"/>
      <c r="E20" s="63"/>
      <c r="F20" s="63"/>
      <c r="G20" s="63"/>
      <c r="H20" s="64"/>
      <c r="I20" s="64"/>
      <c r="J20" s="64"/>
      <c r="K20" s="64"/>
      <c r="L20" s="64"/>
      <c r="M20" s="65"/>
      <c r="N20" s="66"/>
      <c r="O20" s="67"/>
      <c r="P20" s="75">
        <v>29360</v>
      </c>
    </row>
    <row r="21" spans="1:16" x14ac:dyDescent="0.25">
      <c r="A21" s="124" t="s">
        <v>20</v>
      </c>
      <c r="B21" s="125"/>
      <c r="C21" s="51"/>
      <c r="D21" s="81"/>
      <c r="E21" s="81"/>
      <c r="F21" s="76"/>
      <c r="G21" s="81"/>
      <c r="H21" s="31"/>
      <c r="I21" s="31"/>
      <c r="J21" s="31"/>
      <c r="K21" s="31"/>
      <c r="L21" s="31"/>
      <c r="M21" s="36"/>
      <c r="N21" s="51" t="s">
        <v>21</v>
      </c>
      <c r="O21" s="51"/>
      <c r="P21" s="84">
        <f>SUM(P18:P20)</f>
        <v>237360</v>
      </c>
    </row>
    <row r="22" spans="1:16" s="41" customFormat="1" x14ac:dyDescent="0.25">
      <c r="A22" s="37"/>
      <c r="B22" s="68"/>
      <c r="C22" s="68"/>
      <c r="D22" s="68"/>
      <c r="E22" s="68"/>
      <c r="F22" s="68"/>
      <c r="G22" s="68"/>
      <c r="H22" s="69"/>
      <c r="I22" s="69"/>
      <c r="J22" s="69"/>
      <c r="K22" s="69"/>
      <c r="L22" s="69"/>
      <c r="M22" s="38"/>
      <c r="N22" s="39"/>
      <c r="O22" s="39"/>
      <c r="P22" s="40"/>
    </row>
    <row r="23" spans="1:16" s="41" customFormat="1" ht="68.25" customHeight="1" x14ac:dyDescent="0.25">
      <c r="A23" s="42"/>
      <c r="B23" s="68"/>
      <c r="C23" s="68"/>
      <c r="D23" s="68"/>
      <c r="E23" s="68"/>
      <c r="F23" s="68"/>
      <c r="G23" s="68"/>
      <c r="H23" s="69"/>
      <c r="I23" s="69"/>
      <c r="J23" s="69"/>
      <c r="K23" s="69"/>
      <c r="L23" s="69"/>
      <c r="M23" s="103"/>
      <c r="N23" s="104"/>
      <c r="O23" s="104"/>
      <c r="P23" s="105"/>
    </row>
    <row r="24" spans="1:16" s="41" customFormat="1" ht="15" customHeight="1" x14ac:dyDescent="0.25">
      <c r="A24" s="37"/>
      <c r="B24" s="68"/>
      <c r="C24" s="68"/>
      <c r="D24" s="68"/>
      <c r="E24" s="68"/>
      <c r="F24" s="68"/>
      <c r="G24" s="68"/>
      <c r="H24" s="69"/>
      <c r="I24" s="69"/>
      <c r="J24" s="69"/>
      <c r="K24" s="69"/>
      <c r="L24" s="69"/>
      <c r="M24" s="92" t="s">
        <v>22</v>
      </c>
      <c r="N24" s="93"/>
      <c r="O24" s="94">
        <v>2</v>
      </c>
      <c r="P24" s="95"/>
    </row>
    <row r="25" spans="1:16" x14ac:dyDescent="0.25">
      <c r="A25" s="86"/>
      <c r="B25" s="87"/>
      <c r="C25" s="70"/>
      <c r="D25" s="79"/>
      <c r="E25" s="79"/>
      <c r="F25" s="77"/>
      <c r="G25" s="79"/>
      <c r="H25" s="71"/>
      <c r="I25" s="71"/>
      <c r="J25" s="71"/>
      <c r="K25" s="71"/>
      <c r="L25" s="71"/>
      <c r="M25" s="92" t="s">
        <v>23</v>
      </c>
      <c r="N25" s="93"/>
      <c r="O25" s="90">
        <v>130000</v>
      </c>
      <c r="P25" s="91"/>
    </row>
    <row r="26" spans="1:16" ht="15.75" thickBot="1" x14ac:dyDescent="0.3">
      <c r="A26" s="88" t="s">
        <v>34</v>
      </c>
      <c r="B26" s="89"/>
      <c r="C26" s="52"/>
      <c r="D26" s="80"/>
      <c r="E26" s="80"/>
      <c r="F26" s="78"/>
      <c r="G26" s="80"/>
      <c r="H26" s="43"/>
      <c r="I26" s="43"/>
      <c r="J26" s="43"/>
      <c r="K26" s="43"/>
      <c r="L26" s="43"/>
      <c r="M26" s="98"/>
      <c r="N26" s="99"/>
      <c r="O26" s="96"/>
      <c r="P26" s="97"/>
    </row>
  </sheetData>
  <mergeCells count="23">
    <mergeCell ref="A16:P16"/>
    <mergeCell ref="M23:P23"/>
    <mergeCell ref="A1:P1"/>
    <mergeCell ref="A10:B10"/>
    <mergeCell ref="M10:P10"/>
    <mergeCell ref="M11:P11"/>
    <mergeCell ref="M12:P12"/>
    <mergeCell ref="A9:B9"/>
    <mergeCell ref="M9:P9"/>
    <mergeCell ref="N2:P2"/>
    <mergeCell ref="N3:O3"/>
    <mergeCell ref="N4:P4"/>
    <mergeCell ref="M8:P8"/>
    <mergeCell ref="C2:L15"/>
    <mergeCell ref="A21:B21"/>
    <mergeCell ref="A25:B25"/>
    <mergeCell ref="A26:B26"/>
    <mergeCell ref="O25:P25"/>
    <mergeCell ref="M25:N25"/>
    <mergeCell ref="O24:P24"/>
    <mergeCell ref="M24:N24"/>
    <mergeCell ref="O26:P26"/>
    <mergeCell ref="M26:N26"/>
  </mergeCells>
  <phoneticPr fontId="16" type="noConversion"/>
  <pageMargins left="0.7" right="0.7" top="0.49" bottom="0.35" header="0.3" footer="0.3"/>
  <pageSetup paperSize="9" scale="67" fitToHeight="0" orientation="landscape" r:id="rId1"/>
  <headerFooter>
    <oddHeader>&amp;CPage 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INVOICE!Print_Area</vt:lpstr>
      <vt:lpstr>INVOICE!Print_Titles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Rasheed, Mohamed (MLDAL)</dc:creator>
  <cp:lastModifiedBy>stephen</cp:lastModifiedBy>
  <cp:lastPrinted>2025-07-03T11:02:04Z</cp:lastPrinted>
  <dcterms:created xsi:type="dcterms:W3CDTF">2015-06-05T18:17:20Z</dcterms:created>
  <dcterms:modified xsi:type="dcterms:W3CDTF">2026-02-16T11:54:13Z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